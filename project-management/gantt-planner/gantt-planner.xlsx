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0984d4fb4e4621/Documenti/GitHub/formazione-digitale.github.io/project-management/gantt-planner/"/>
    </mc:Choice>
  </mc:AlternateContent>
  <xr:revisionPtr revIDLastSave="0" documentId="8_{A6E95F83-D8A9-4B43-B11D-22A93B5B73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" sheetId="1" r:id="rId1"/>
    <sheet name="Istruzioni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/>
  <c r="G22" i="1"/>
  <c r="G21" i="1"/>
  <c r="G20" i="1"/>
  <c r="G19" i="1"/>
  <c r="G18" i="1"/>
  <c r="G16" i="1"/>
  <c r="G15" i="1"/>
  <c r="G14" i="1"/>
  <c r="G13" i="1"/>
  <c r="G12" i="1"/>
  <c r="G10" i="1"/>
  <c r="G9" i="1"/>
  <c r="G8" i="1"/>
  <c r="G7" i="1"/>
  <c r="H4" i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</calcChain>
</file>

<file path=xl/sharedStrings.xml><?xml version="1.0" encoding="utf-8"?>
<sst xmlns="http://schemas.openxmlformats.org/spreadsheetml/2006/main" count="62" uniqueCount="47">
  <si>
    <t>TITOLO DEL PROGETTO</t>
  </si>
  <si>
    <t>Responsabile:</t>
  </si>
  <si>
    <t>Inizio progetto:</t>
  </si>
  <si>
    <t>Visualizza settimana:</t>
  </si>
  <si>
    <t>Collaboratori:</t>
  </si>
  <si>
    <t>Fine progetto:</t>
  </si>
  <si>
    <t>Evidenzia oggi:</t>
  </si>
  <si>
    <t>X</t>
  </si>
  <si>
    <t>Settimana 1</t>
  </si>
  <si>
    <t>Settimana 2</t>
  </si>
  <si>
    <t>Settimana 3</t>
  </si>
  <si>
    <t>Settimana 4</t>
  </si>
  <si>
    <t>Settimana 5</t>
  </si>
  <si>
    <t>Settimana 6</t>
  </si>
  <si>
    <t>Settimana 7</t>
  </si>
  <si>
    <t>Settimana 8</t>
  </si>
  <si>
    <t>Settimana 9</t>
  </si>
  <si>
    <t>Settimana 10</t>
  </si>
  <si>
    <t>ATTIVITÀ</t>
  </si>
  <si>
    <t>ASSEGNATO A</t>
  </si>
  <si>
    <t>AVANZAMENTO</t>
  </si>
  <si>
    <t>INIZIO</t>
  </si>
  <si>
    <t>FINE</t>
  </si>
  <si>
    <t>GIORNI</t>
  </si>
  <si>
    <t>Fase 1</t>
  </si>
  <si>
    <t>Attività 1</t>
  </si>
  <si>
    <t>Attività 2</t>
  </si>
  <si>
    <t>Attività 3</t>
  </si>
  <si>
    <t>Attività 4</t>
  </si>
  <si>
    <t>Attività 5</t>
  </si>
  <si>
    <t>Fase 2</t>
  </si>
  <si>
    <t>Fase 3</t>
  </si>
  <si>
    <t>Fase 4</t>
  </si>
  <si>
    <t>GANTT — Guida rapida</t>
  </si>
  <si>
    <t>1. TITOLO: cella B1 — scrivi il nome del progetto.</t>
  </si>
  <si>
    <t>2. RESPONSABILE: cella N1.</t>
  </si>
  <si>
    <t>3. INIZIO PROGETTO: cella AA1 (GG/MM/AAAA). La griglia appare automaticamente.</t>
  </si>
  <si>
    <t>4. VISUALIZZA SETTIMANA: cella AJ1. 1=prima settimana, 2=seconda, ecc.</t>
  </si>
  <si>
    <t>5. FASI: righe grigie — modifica il nome in colonna B.</t>
  </si>
  <si>
    <t>6. ATTIVITÀ: Attività, Assegnato a, Avanzamento (0=0%  0,5=50%  1=100%), Inizio, Fine.</t>
  </si>
  <si>
    <t>7. Barre: Fase 1=Blu · Fase 2=Verde · Fase 3=Ambra · Fase 4=Rosso</t>
  </si>
  <si>
    <t xml:space="preserve">   Colore chiaro=pianificato · Colore scuro=completato</t>
  </si>
  <si>
    <t>8. Colonna D: rosso (0%) → giallo (50%) → verde (100%).</t>
  </si>
  <si>
    <t>Compatibile con Google Fogli e Microsoft Excel.</t>
  </si>
  <si>
    <t>9. EVIDENZIA OGGI: cella AR1. Scrivi x per evidenziare in giallo la colonna del giorno corrente.</t>
  </si>
  <si>
    <t>10. FINE PROGETTO: cella AX1. Inserisci la data (GG/MM/AAAA) per evidenziare in arancione la colonna di fine progetto.</t>
  </si>
  <si>
    <t xml:space="preserve">    Entrambe le funzioni sono opzionali e compatibili con Google Fogli.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</si>
</sst>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-mmm\-"/>
  </numFmts>
  <fonts count="14" x14ac:knownFonts="1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8"/>
      <color rgb="FFFFFFFF"/>
      <name val="Arial"/>
      <charset val="1"/>
    </font>
    <font>
      <sz val="7"/>
      <color rgb="FF404040"/>
      <name val="Arial"/>
      <charset val="1"/>
    </font>
    <font>
      <b/>
      <sz val="10"/>
      <color rgb="FF1F497D"/>
      <name val="Arial"/>
      <charset val="1"/>
    </font>
    <font>
      <sz val="10"/>
      <color theme="1"/>
      <name val="Arial"/>
      <charset val="1"/>
    </font>
    <font>
      <u/>
      <sz val="11"/>
      <color theme="1"/>
      <name val="Calibri"/>
      <family val="2"/>
      <charset val="1"/>
    </font>
    <font>
      <b/>
      <sz val="14"/>
      <color rgb="FF1F497D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E79"/>
      </patternFill>
    </fill>
    <fill>
      <patternFill patternType="solid">
        <fgColor rgb="FF2A5F8F"/>
        <bgColor rgb="FF1F4E79"/>
      </patternFill>
    </fill>
    <fill>
      <patternFill patternType="solid">
        <fgColor rgb="FF1F4E79"/>
        <bgColor rgb="FF1F497D"/>
      </patternFill>
    </fill>
    <fill>
      <patternFill patternType="solid">
        <fgColor rgb="FF2E75B6"/>
        <bgColor rgb="FF2A5F8F"/>
      </patternFill>
    </fill>
    <fill>
      <patternFill patternType="solid">
        <fgColor rgb="FFEBF3FB"/>
        <bgColor rgb="FFF2F7FC"/>
      </patternFill>
    </fill>
    <fill>
      <patternFill patternType="solid">
        <fgColor rgb="FFD6DCE4"/>
        <bgColor rgb="FFDDDDDD"/>
      </patternFill>
    </fill>
    <fill>
      <patternFill patternType="solid">
        <fgColor rgb="FFE8E8E8"/>
        <bgColor rgb="FFDCE6F2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EBF3FB"/>
      </patternFill>
    </fill>
  </fills>
  <borders count="16">
    <border>
      <left/>
      <right/>
      <top/>
      <bottom/>
      <diagonal/>
    </border>
    <border>
      <left style="thin">
        <color theme="4" tint="0.79989013336588644"/>
      </left>
      <right style="thin">
        <color theme="4" tint="0.79989013336588644"/>
      </right>
      <top style="thin">
        <color auto="1"/>
      </top>
      <bottom style="thin">
        <color theme="4" tint="0.79989013336588644"/>
      </bottom>
      <diagonal/>
    </border>
    <border>
      <left style="thin">
        <color theme="4" tint="0.79989013336588644"/>
      </left>
      <right/>
      <top/>
      <bottom style="thin">
        <color theme="4" tint="0.79989013336588644"/>
      </bottom>
      <diagonal/>
    </border>
    <border>
      <left style="thin">
        <color theme="4" tint="0.79989013336588644"/>
      </left>
      <right style="thin">
        <color theme="4" tint="0.79989013336588644"/>
      </right>
      <top style="thin">
        <color theme="4" tint="0.79989013336588644"/>
      </top>
      <bottom style="thin">
        <color theme="4" tint="0.79989013336588644"/>
      </bottom>
      <diagonal/>
    </border>
    <border>
      <left style="thin">
        <color theme="4" tint="0.79989013336588644"/>
      </left>
      <right style="thin">
        <color theme="4" tint="0.79989013336588644"/>
      </right>
      <top style="thin">
        <color theme="4" tint="0.79989013336588644"/>
      </top>
      <bottom/>
      <diagonal/>
    </border>
    <border>
      <left/>
      <right style="thin">
        <color theme="4" tint="0.79989013336588644"/>
      </right>
      <top style="thin">
        <color theme="4" tint="0.79989013336588644"/>
      </top>
      <bottom style="thin">
        <color theme="4" tint="0.79989013336588644"/>
      </bottom>
      <diagonal/>
    </border>
    <border>
      <left style="thin">
        <color theme="4" tint="0.79989013336588644"/>
      </left>
      <right style="thin">
        <color theme="4" tint="0.79989013336588644"/>
      </right>
      <top/>
      <bottom style="thin">
        <color theme="4" tint="0.79989013336588644"/>
      </bottom>
      <diagonal/>
    </border>
    <border>
      <left style="thin">
        <color theme="4" tint="0.79989013336588644"/>
      </left>
      <right style="thin">
        <color rgb="FFB8CCE4"/>
      </right>
      <top style="thin">
        <color theme="4" tint="0.79989013336588644"/>
      </top>
      <bottom style="thin">
        <color theme="4" tint="0.79989013336588644"/>
      </bottom>
      <diagonal/>
    </border>
    <border>
      <left style="thin">
        <color rgb="FFB8CCE4"/>
      </left>
      <right style="thin">
        <color rgb="FFB8CCE4"/>
      </right>
      <top style="thin">
        <color theme="4" tint="0.79989013336588644"/>
      </top>
      <bottom style="thin">
        <color theme="4" tint="0.79989013336588644"/>
      </bottom>
      <diagonal/>
    </border>
    <border>
      <left style="thin">
        <color rgb="FFB8CCE4"/>
      </left>
      <right style="thin">
        <color theme="4" tint="0.79989013336588644"/>
      </right>
      <top style="thin">
        <color theme="4" tint="0.79989013336588644"/>
      </top>
      <bottom style="thin">
        <color theme="4" tint="0.79989013336588644"/>
      </bottom>
      <diagonal/>
    </border>
    <border>
      <left style="thin">
        <color rgb="FFDDDDDD"/>
      </left>
      <right/>
      <top/>
      <bottom/>
      <diagonal/>
    </border>
    <border>
      <left style="thin">
        <color rgb="FFB8CCE4"/>
      </left>
      <right/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DDDDDD"/>
      </left>
      <right style="thin">
        <color rgb="FFDDDDDD"/>
      </right>
      <top style="thin">
        <color theme="4" tint="0.7998901333658864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0" fillId="2" borderId="0" xfId="0" applyFill="1"/>
    <xf numFmtId="0" fontId="5" fillId="3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 wrapText="1"/>
    </xf>
    <xf numFmtId="165" fontId="7" fillId="6" borderId="10" xfId="0" applyNumberFormat="1" applyFont="1" applyFill="1" applyBorder="1" applyAlignment="1">
      <alignment horizontal="center" vertical="center" wrapText="1"/>
    </xf>
    <xf numFmtId="9" fontId="0" fillId="7" borderId="12" xfId="0" applyNumberFormat="1" applyFill="1" applyBorder="1"/>
    <xf numFmtId="0" fontId="0" fillId="7" borderId="12" xfId="0" applyFill="1" applyBorder="1"/>
    <xf numFmtId="0" fontId="0" fillId="8" borderId="10" xfId="0" applyFill="1" applyBorder="1"/>
    <xf numFmtId="0" fontId="9" fillId="9" borderId="13" xfId="0" applyFont="1" applyFill="1" applyBorder="1" applyAlignment="1">
      <alignment vertical="center"/>
    </xf>
    <xf numFmtId="0" fontId="0" fillId="9" borderId="13" xfId="0" applyFill="1" applyBorder="1"/>
    <xf numFmtId="9" fontId="0" fillId="9" borderId="13" xfId="0" applyNumberFormat="1" applyFill="1" applyBorder="1" applyAlignment="1">
      <alignment horizontal="center" vertical="center"/>
    </xf>
    <xf numFmtId="164" fontId="0" fillId="9" borderId="13" xfId="0" applyNumberForma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0" xfId="0" applyFill="1" applyBorder="1"/>
    <xf numFmtId="0" fontId="9" fillId="10" borderId="13" xfId="0" applyFont="1" applyFill="1" applyBorder="1" applyAlignment="1">
      <alignment vertical="center"/>
    </xf>
    <xf numFmtId="0" fontId="0" fillId="10" borderId="13" xfId="0" applyFill="1" applyBorder="1"/>
    <xf numFmtId="9" fontId="0" fillId="10" borderId="13" xfId="0" applyNumberFormat="1" applyFill="1" applyBorder="1" applyAlignment="1">
      <alignment horizontal="center" vertical="center"/>
    </xf>
    <xf numFmtId="164" fontId="10" fillId="10" borderId="13" xfId="0" applyNumberFormat="1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0" xfId="0" applyFill="1" applyBorder="1"/>
    <xf numFmtId="164" fontId="0" fillId="10" borderId="13" xfId="0" applyNumberFormat="1" applyFill="1" applyBorder="1" applyAlignment="1">
      <alignment horizontal="center" vertical="center"/>
    </xf>
    <xf numFmtId="9" fontId="0" fillId="7" borderId="13" xfId="0" applyNumberFormat="1" applyFill="1" applyBorder="1"/>
    <xf numFmtId="0" fontId="0" fillId="7" borderId="13" xfId="0" applyFill="1" applyBorder="1"/>
    <xf numFmtId="0" fontId="0" fillId="10" borderId="15" xfId="0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5" borderId="0" xfId="0" applyFont="1" applyFill="1" applyAlignment="1">
      <alignment horizontal="center" vertical="center"/>
    </xf>
    <xf numFmtId="0" fontId="8" fillId="7" borderId="11" xfId="0" applyFont="1" applyFill="1" applyBorder="1" applyAlignment="1">
      <alignment vertical="center"/>
    </xf>
    <xf numFmtId="0" fontId="8" fillId="7" borderId="14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562"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2E75B6"/>
        </patternFill>
      </fill>
    </dxf>
    <dxf>
      <fill>
        <patternFill>
          <bgColor rgb="FFBDD7EE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9C5700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990000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990000"/>
        </patternFill>
      </fill>
    </dxf>
    <dxf>
      <fill>
        <patternFill>
          <bgColor rgb="FFF4CCCC"/>
        </patternFill>
      </fill>
    </dxf>
    <dxf>
      <fill>
        <patternFill>
          <bgColor rgb="FF9C5700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9C5700"/>
        </patternFill>
      </fill>
    </dxf>
    <dxf>
      <fill>
        <patternFill>
          <bgColor rgb="FFFFEB9C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2E75B6"/>
        </patternFill>
      </fill>
    </dxf>
    <dxf>
      <fill>
        <patternFill>
          <bgColor rgb="FFBDD7EE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990000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2E75B6"/>
        </patternFill>
      </fill>
    </dxf>
    <dxf>
      <fill>
        <patternFill>
          <bgColor rgb="FFBDD7EE"/>
        </patternFill>
      </fill>
    </dxf>
    <dxf>
      <fill>
        <patternFill>
          <bgColor rgb="FF990000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2E75B6"/>
        </patternFill>
      </fill>
    </dxf>
    <dxf>
      <fill>
        <patternFill>
          <bgColor rgb="FFBDD7EE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9C5700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9C5700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2E75B6"/>
        </patternFill>
      </fill>
    </dxf>
    <dxf>
      <fill>
        <patternFill>
          <bgColor rgb="FFBDD7EE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990000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375623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  <dxf>
      <border diagonalUp="0" diagonalDown="0">
        <left style="dashed">
          <color theme="4" tint="-0.499984740745262"/>
        </left>
        <right style="dashed">
          <color theme="4" tint="-0.499984740745262"/>
        </right>
        <top/>
        <bottom/>
      </border>
    </dxf>
    <dxf>
      <border diagonalUp="0" diagonalDown="0">
        <left style="hair">
          <color rgb="FFFF0000"/>
        </left>
        <right style="hair">
          <color rgb="FFFF0000"/>
        </right>
        <top/>
        <bottom/>
      </border>
    </dxf>
    <dxf>
      <fill>
        <patternFill>
          <bgColor rgb="FFF4CCCC"/>
        </patternFill>
      </fill>
    </dxf>
    <dxf>
      <fill>
        <patternFill>
          <bgColor rgb="FF990000"/>
        </patternFill>
      </fill>
    </dxf>
    <dxf>
      <fill>
        <patternFill>
          <bgColor rgb="FFFFEB9C"/>
        </patternFill>
      </fill>
    </dxf>
    <dxf>
      <fill>
        <patternFill>
          <bgColor rgb="FF9C5700"/>
        </patternFill>
      </fill>
    </dxf>
    <dxf>
      <fill>
        <patternFill>
          <bgColor rgb="FFC6EFCE"/>
        </patternFill>
      </fill>
    </dxf>
    <dxf>
      <fill>
        <patternFill>
          <bgColor rgb="FF375623"/>
        </patternFill>
      </fill>
    </dxf>
    <dxf>
      <fill>
        <patternFill>
          <bgColor rgb="FFBDD7EE"/>
        </patternFill>
      </fill>
    </dxf>
    <dxf>
      <fill>
        <patternFill>
          <bgColor rgb="FF2E75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2F7FC"/>
      <rgbColor rgb="FFEBF3FB"/>
      <rgbColor rgb="FF660066"/>
      <rgbColor rgb="FFFF8080"/>
      <rgbColor rgb="FF2A5F8F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EB9C"/>
      <rgbColor rgb="FFD6DCE4"/>
      <rgbColor rgb="FFE8E8E8"/>
      <rgbColor rgb="FFDDDDDD"/>
      <rgbColor rgb="FFF4CCCC"/>
      <rgbColor rgb="FF2E75B6"/>
      <rgbColor rgb="FF33CCCC"/>
      <rgbColor rgb="FF99CC00"/>
      <rgbColor rgb="FFFFCC00"/>
      <rgbColor rgb="FFFF9900"/>
      <rgbColor rgb="FFFF6B35"/>
      <rgbColor rgb="FF666699"/>
      <rgbColor rgb="FF969696"/>
      <rgbColor rgb="FF1F4E79"/>
      <rgbColor rgb="FF339966"/>
      <rgbColor rgb="FF003300"/>
      <rgbColor rgb="FF375623"/>
      <rgbColor rgb="FF9C5700"/>
      <rgbColor rgb="FF993366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Y1001"/>
  <sheetViews>
    <sheetView tabSelected="1" zoomScale="70" zoomScaleNormal="7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BS7" sqref="BS7"/>
    </sheetView>
  </sheetViews>
  <sheetFormatPr defaultColWidth="14.44140625" defaultRowHeight="14.4" x14ac:dyDescent="0.3"/>
  <cols>
    <col min="1" max="1" width="2" customWidth="1"/>
    <col min="2" max="2" width="26" customWidth="1"/>
    <col min="3" max="3" width="18" customWidth="1"/>
    <col min="4" max="4" width="14" customWidth="1"/>
    <col min="5" max="6" width="12" customWidth="1"/>
    <col min="7" max="7" width="8" customWidth="1"/>
    <col min="8" max="8" width="6.33203125" customWidth="1"/>
    <col min="9" max="14" width="4.5546875" customWidth="1"/>
    <col min="15" max="15" width="4.44140625" bestFit="1" customWidth="1"/>
    <col min="16" max="16" width="4.5546875" customWidth="1"/>
    <col min="17" max="17" width="5.33203125" customWidth="1"/>
    <col min="18" max="18" width="5.109375" customWidth="1"/>
    <col min="19" max="21" width="5.33203125" customWidth="1"/>
    <col min="22" max="22" width="5.44140625" customWidth="1"/>
    <col min="23" max="26" width="5.33203125" customWidth="1"/>
    <col min="27" max="27" width="5.6640625" customWidth="1"/>
    <col min="28" max="28" width="5" customWidth="1"/>
    <col min="29" max="29" width="6.33203125" customWidth="1"/>
    <col min="30" max="30" width="5.33203125" customWidth="1"/>
    <col min="31" max="31" width="5.21875" bestFit="1" customWidth="1"/>
    <col min="32" max="35" width="5.33203125" customWidth="1"/>
    <col min="36" max="36" width="5.109375" bestFit="1" customWidth="1"/>
    <col min="37" max="37" width="5.33203125" customWidth="1"/>
    <col min="38" max="42" width="4.5546875" customWidth="1"/>
    <col min="43" max="46" width="5" customWidth="1"/>
    <col min="47" max="47" width="5.33203125" customWidth="1"/>
    <col min="48" max="48" width="5.109375" customWidth="1"/>
    <col min="49" max="49" width="5.33203125" customWidth="1"/>
    <col min="50" max="50" width="12" customWidth="1"/>
    <col min="51" max="56" width="5.33203125" customWidth="1"/>
    <col min="57" max="57" width="9.6640625" customWidth="1"/>
    <col min="58" max="63" width="5.33203125" customWidth="1"/>
    <col min="64" max="64" width="9.6640625" customWidth="1"/>
    <col min="65" max="68" width="5.33203125" customWidth="1"/>
    <col min="69" max="70" width="5" customWidth="1"/>
    <col min="71" max="71" width="9.6640625" customWidth="1"/>
    <col min="72" max="72" width="5.33203125" customWidth="1"/>
    <col min="73" max="75" width="13" customWidth="1"/>
    <col min="76" max="76" width="5" customWidth="1"/>
    <col min="77" max="77" width="13" customWidth="1"/>
  </cols>
  <sheetData>
    <row r="1" spans="2:77" ht="27.75" customHeight="1" x14ac:dyDescent="0.3">
      <c r="B1" s="41" t="s">
        <v>0</v>
      </c>
      <c r="C1" s="41"/>
      <c r="D1" s="41"/>
      <c r="E1" s="41"/>
      <c r="F1" s="41"/>
      <c r="G1" s="41"/>
      <c r="H1" s="42" t="s">
        <v>1</v>
      </c>
      <c r="I1" s="42"/>
      <c r="J1" s="42"/>
      <c r="K1" s="42"/>
      <c r="L1" s="42"/>
      <c r="M1" s="42"/>
      <c r="N1" s="37"/>
      <c r="O1" s="37"/>
      <c r="P1" s="37"/>
      <c r="Q1" s="37"/>
      <c r="R1" s="37"/>
      <c r="S1" s="37"/>
      <c r="T1" s="37"/>
      <c r="U1" s="37"/>
      <c r="V1" s="35" t="s">
        <v>2</v>
      </c>
      <c r="W1" s="35"/>
      <c r="X1" s="35"/>
      <c r="Y1" s="35"/>
      <c r="Z1" s="35"/>
      <c r="AA1" s="43">
        <v>38718</v>
      </c>
      <c r="AB1" s="43"/>
      <c r="AC1" s="43"/>
      <c r="AD1" s="43"/>
      <c r="AE1" s="35" t="s">
        <v>3</v>
      </c>
      <c r="AF1" s="35"/>
      <c r="AG1" s="35"/>
      <c r="AH1" s="35"/>
      <c r="AI1" s="35"/>
      <c r="AJ1" s="1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2:77" ht="27.75" customHeight="1" x14ac:dyDescent="0.3">
      <c r="B2" s="41"/>
      <c r="C2" s="41"/>
      <c r="D2" s="41"/>
      <c r="E2" s="41"/>
      <c r="F2" s="41"/>
      <c r="G2" s="41"/>
      <c r="H2" s="36" t="s">
        <v>4</v>
      </c>
      <c r="I2" s="36"/>
      <c r="J2" s="36"/>
      <c r="K2" s="36"/>
      <c r="L2" s="36"/>
      <c r="M2" s="36"/>
      <c r="N2" s="37"/>
      <c r="O2" s="37"/>
      <c r="P2" s="37"/>
      <c r="Q2" s="37"/>
      <c r="R2" s="37"/>
      <c r="S2" s="37"/>
      <c r="T2" s="37"/>
      <c r="U2" s="37"/>
      <c r="V2" s="38" t="s">
        <v>5</v>
      </c>
      <c r="W2" s="38"/>
      <c r="X2" s="38"/>
      <c r="Y2" s="38"/>
      <c r="Z2" s="38"/>
      <c r="AA2" s="39"/>
      <c r="AB2" s="39"/>
      <c r="AC2" s="39"/>
      <c r="AD2" s="39"/>
      <c r="AE2" s="40" t="s">
        <v>6</v>
      </c>
      <c r="AF2" s="40"/>
      <c r="AG2" s="40"/>
      <c r="AH2" s="40"/>
      <c r="AI2" s="40"/>
      <c r="AJ2" s="4" t="s">
        <v>7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2:77" ht="19.5" customHeight="1" x14ac:dyDescent="0.3">
      <c r="B3" s="41"/>
      <c r="C3" s="41"/>
      <c r="D3" s="41"/>
      <c r="E3" s="41"/>
      <c r="F3" s="41"/>
      <c r="G3" s="41"/>
      <c r="H3" s="32" t="s">
        <v>8</v>
      </c>
      <c r="I3" s="32"/>
      <c r="J3" s="32"/>
      <c r="K3" s="32"/>
      <c r="L3" s="32"/>
      <c r="M3" s="32"/>
      <c r="N3" s="32"/>
      <c r="O3" s="32" t="s">
        <v>9</v>
      </c>
      <c r="P3" s="32"/>
      <c r="Q3" s="32"/>
      <c r="R3" s="32"/>
      <c r="S3" s="32"/>
      <c r="T3" s="32"/>
      <c r="U3" s="32"/>
      <c r="V3" s="32" t="s">
        <v>10</v>
      </c>
      <c r="W3" s="32"/>
      <c r="X3" s="32"/>
      <c r="Y3" s="32"/>
      <c r="Z3" s="32"/>
      <c r="AA3" s="32"/>
      <c r="AB3" s="32"/>
      <c r="AC3" s="32" t="s">
        <v>11</v>
      </c>
      <c r="AD3" s="32"/>
      <c r="AE3" s="32"/>
      <c r="AF3" s="32"/>
      <c r="AG3" s="32"/>
      <c r="AH3" s="32"/>
      <c r="AI3" s="32"/>
      <c r="AJ3" s="32" t="s">
        <v>12</v>
      </c>
      <c r="AK3" s="32"/>
      <c r="AL3" s="32"/>
      <c r="AM3" s="32"/>
      <c r="AN3" s="32"/>
      <c r="AO3" s="32"/>
      <c r="AP3" s="32"/>
      <c r="AQ3" s="32" t="s">
        <v>13</v>
      </c>
      <c r="AR3" s="32"/>
      <c r="AS3" s="32"/>
      <c r="AT3" s="32"/>
      <c r="AU3" s="32"/>
      <c r="AV3" s="32"/>
      <c r="AW3" s="32"/>
      <c r="AX3" s="32" t="s">
        <v>14</v>
      </c>
      <c r="AY3" s="32"/>
      <c r="AZ3" s="32"/>
      <c r="BA3" s="32"/>
      <c r="BB3" s="32"/>
      <c r="BC3" s="32"/>
      <c r="BD3" s="32"/>
      <c r="BE3" s="32" t="s">
        <v>15</v>
      </c>
      <c r="BF3" s="32"/>
      <c r="BG3" s="32"/>
      <c r="BH3" s="32"/>
      <c r="BI3" s="32"/>
      <c r="BJ3" s="32"/>
      <c r="BK3" s="32"/>
      <c r="BL3" s="32" t="s">
        <v>16</v>
      </c>
      <c r="BM3" s="32"/>
      <c r="BN3" s="32"/>
      <c r="BO3" s="32"/>
      <c r="BP3" s="32"/>
      <c r="BQ3" s="32"/>
      <c r="BR3" s="32"/>
      <c r="BS3" s="32" t="s">
        <v>17</v>
      </c>
      <c r="BT3" s="32"/>
      <c r="BU3" s="32"/>
      <c r="BV3" s="32"/>
      <c r="BW3" s="32"/>
      <c r="BX3" s="32"/>
      <c r="BY3" s="32"/>
    </row>
    <row r="4" spans="2:77" ht="27.75" customHeight="1" x14ac:dyDescent="0.3">
      <c r="B4" s="5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7" t="s">
        <v>23</v>
      </c>
      <c r="H4" s="8">
        <f>IF(ISBLANK($AA$1),"",$AA$1-WEEKDAY($AA$1,2)+1+7*($AJ$1-1))</f>
        <v>38712</v>
      </c>
      <c r="I4" s="9">
        <f t="shared" ref="I4:AN4" si="0">IF(ISBLANK($AA$1),"",H4+1)</f>
        <v>38713</v>
      </c>
      <c r="J4" s="9">
        <f t="shared" si="0"/>
        <v>38714</v>
      </c>
      <c r="K4" s="9">
        <f t="shared" si="0"/>
        <v>38715</v>
      </c>
      <c r="L4" s="9">
        <f t="shared" si="0"/>
        <v>38716</v>
      </c>
      <c r="M4" s="9">
        <f t="shared" si="0"/>
        <v>38717</v>
      </c>
      <c r="N4" s="9">
        <f t="shared" si="0"/>
        <v>38718</v>
      </c>
      <c r="O4" s="9">
        <f t="shared" si="0"/>
        <v>38719</v>
      </c>
      <c r="P4" s="9">
        <f t="shared" si="0"/>
        <v>38720</v>
      </c>
      <c r="Q4" s="9">
        <f t="shared" si="0"/>
        <v>38721</v>
      </c>
      <c r="R4" s="9">
        <f t="shared" si="0"/>
        <v>38722</v>
      </c>
      <c r="S4" s="9">
        <f t="shared" si="0"/>
        <v>38723</v>
      </c>
      <c r="T4" s="9">
        <f t="shared" si="0"/>
        <v>38724</v>
      </c>
      <c r="U4" s="9">
        <f t="shared" si="0"/>
        <v>38725</v>
      </c>
      <c r="V4" s="9">
        <f t="shared" si="0"/>
        <v>38726</v>
      </c>
      <c r="W4" s="9">
        <f t="shared" si="0"/>
        <v>38727</v>
      </c>
      <c r="X4" s="9">
        <f t="shared" si="0"/>
        <v>38728</v>
      </c>
      <c r="Y4" s="9">
        <f t="shared" si="0"/>
        <v>38729</v>
      </c>
      <c r="Z4" s="9">
        <f t="shared" si="0"/>
        <v>38730</v>
      </c>
      <c r="AA4" s="9">
        <f t="shared" si="0"/>
        <v>38731</v>
      </c>
      <c r="AB4" s="9">
        <f t="shared" si="0"/>
        <v>38732</v>
      </c>
      <c r="AC4" s="9">
        <f t="shared" si="0"/>
        <v>38733</v>
      </c>
      <c r="AD4" s="9">
        <f t="shared" si="0"/>
        <v>38734</v>
      </c>
      <c r="AE4" s="9">
        <f t="shared" si="0"/>
        <v>38735</v>
      </c>
      <c r="AF4" s="9">
        <f t="shared" si="0"/>
        <v>38736</v>
      </c>
      <c r="AG4" s="9">
        <f t="shared" si="0"/>
        <v>38737</v>
      </c>
      <c r="AH4" s="9">
        <f t="shared" si="0"/>
        <v>38738</v>
      </c>
      <c r="AI4" s="9">
        <f t="shared" si="0"/>
        <v>38739</v>
      </c>
      <c r="AJ4" s="9">
        <f t="shared" si="0"/>
        <v>38740</v>
      </c>
      <c r="AK4" s="9">
        <f t="shared" si="0"/>
        <v>38741</v>
      </c>
      <c r="AL4" s="9">
        <f t="shared" si="0"/>
        <v>38742</v>
      </c>
      <c r="AM4" s="9">
        <f t="shared" si="0"/>
        <v>38743</v>
      </c>
      <c r="AN4" s="9">
        <f t="shared" si="0"/>
        <v>38744</v>
      </c>
      <c r="AO4" s="9">
        <f t="shared" ref="AO4:BY4" si="1">IF(ISBLANK($AA$1),"",AN4+1)</f>
        <v>38745</v>
      </c>
      <c r="AP4" s="9">
        <f t="shared" si="1"/>
        <v>38746</v>
      </c>
      <c r="AQ4" s="9">
        <f t="shared" si="1"/>
        <v>38747</v>
      </c>
      <c r="AR4" s="9">
        <f t="shared" si="1"/>
        <v>38748</v>
      </c>
      <c r="AS4" s="9">
        <f t="shared" si="1"/>
        <v>38749</v>
      </c>
      <c r="AT4" s="9">
        <f t="shared" si="1"/>
        <v>38750</v>
      </c>
      <c r="AU4" s="9">
        <f t="shared" si="1"/>
        <v>38751</v>
      </c>
      <c r="AV4" s="9">
        <f t="shared" si="1"/>
        <v>38752</v>
      </c>
      <c r="AW4" s="9">
        <f t="shared" si="1"/>
        <v>38753</v>
      </c>
      <c r="AX4" s="9">
        <f t="shared" si="1"/>
        <v>38754</v>
      </c>
      <c r="AY4" s="9">
        <f t="shared" si="1"/>
        <v>38755</v>
      </c>
      <c r="AZ4" s="9">
        <f t="shared" si="1"/>
        <v>38756</v>
      </c>
      <c r="BA4" s="9">
        <f t="shared" si="1"/>
        <v>38757</v>
      </c>
      <c r="BB4" s="9">
        <f t="shared" si="1"/>
        <v>38758</v>
      </c>
      <c r="BC4" s="9">
        <f t="shared" si="1"/>
        <v>38759</v>
      </c>
      <c r="BD4" s="9">
        <f t="shared" si="1"/>
        <v>38760</v>
      </c>
      <c r="BE4" s="9">
        <f t="shared" si="1"/>
        <v>38761</v>
      </c>
      <c r="BF4" s="9">
        <f t="shared" si="1"/>
        <v>38762</v>
      </c>
      <c r="BG4" s="9">
        <f t="shared" si="1"/>
        <v>38763</v>
      </c>
      <c r="BH4" s="9">
        <f t="shared" si="1"/>
        <v>38764</v>
      </c>
      <c r="BI4" s="9">
        <f t="shared" si="1"/>
        <v>38765</v>
      </c>
      <c r="BJ4" s="9">
        <f t="shared" si="1"/>
        <v>38766</v>
      </c>
      <c r="BK4" s="9">
        <f t="shared" si="1"/>
        <v>38767</v>
      </c>
      <c r="BL4" s="9">
        <f t="shared" si="1"/>
        <v>38768</v>
      </c>
      <c r="BM4" s="9">
        <f t="shared" si="1"/>
        <v>38769</v>
      </c>
      <c r="BN4" s="9">
        <f t="shared" si="1"/>
        <v>38770</v>
      </c>
      <c r="BO4" s="9">
        <f t="shared" si="1"/>
        <v>38771</v>
      </c>
      <c r="BP4" s="9">
        <f t="shared" si="1"/>
        <v>38772</v>
      </c>
      <c r="BQ4" s="9">
        <f t="shared" si="1"/>
        <v>38773</v>
      </c>
      <c r="BR4" s="9">
        <f t="shared" si="1"/>
        <v>38774</v>
      </c>
      <c r="BS4" s="9">
        <f t="shared" si="1"/>
        <v>38775</v>
      </c>
      <c r="BT4" s="9">
        <f t="shared" si="1"/>
        <v>38776</v>
      </c>
      <c r="BU4" s="9">
        <f t="shared" si="1"/>
        <v>38777</v>
      </c>
      <c r="BV4" s="9">
        <f t="shared" si="1"/>
        <v>38778</v>
      </c>
      <c r="BW4" s="9">
        <f t="shared" si="1"/>
        <v>38779</v>
      </c>
      <c r="BX4" s="9">
        <f t="shared" si="1"/>
        <v>38780</v>
      </c>
      <c r="BY4" s="9">
        <f t="shared" si="1"/>
        <v>38781</v>
      </c>
    </row>
    <row r="5" spans="2:77" ht="21.75" customHeight="1" x14ac:dyDescent="0.3">
      <c r="B5" s="33" t="s">
        <v>24</v>
      </c>
      <c r="C5" s="33"/>
      <c r="D5" s="10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</row>
    <row r="6" spans="2:77" ht="19.5" customHeight="1" x14ac:dyDescent="0.3">
      <c r="B6" s="13" t="s">
        <v>25</v>
      </c>
      <c r="C6" s="14"/>
      <c r="D6" s="15"/>
      <c r="E6" s="16"/>
      <c r="F6" s="16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</row>
    <row r="7" spans="2:77" ht="19.5" customHeight="1" x14ac:dyDescent="0.3">
      <c r="B7" s="19" t="s">
        <v>26</v>
      </c>
      <c r="C7" s="20"/>
      <c r="D7" s="21">
        <v>0</v>
      </c>
      <c r="E7" s="22"/>
      <c r="F7" s="22"/>
      <c r="G7" s="23" t="str">
        <f>IF(OR(ISBLANK(E7),ISBLANK(F7)),"",F7-E7+1)</f>
        <v/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</row>
    <row r="8" spans="2:77" ht="19.5" customHeight="1" x14ac:dyDescent="0.3">
      <c r="B8" s="13" t="s">
        <v>27</v>
      </c>
      <c r="C8" s="14"/>
      <c r="D8" s="15">
        <v>0</v>
      </c>
      <c r="E8" s="22"/>
      <c r="F8" s="22"/>
      <c r="G8" s="17" t="str">
        <f>IF(OR(ISBLANK(E8),ISBLANK(F8)),"",F8-E8+1)</f>
        <v/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</row>
    <row r="9" spans="2:77" ht="19.5" customHeight="1" x14ac:dyDescent="0.3">
      <c r="B9" s="19" t="s">
        <v>28</v>
      </c>
      <c r="C9" s="20"/>
      <c r="D9" s="21">
        <v>0</v>
      </c>
      <c r="E9" s="25"/>
      <c r="F9" s="25"/>
      <c r="G9" s="23" t="str">
        <f>IF(OR(ISBLANK(E9),ISBLANK(F9)),"",F9-E9+1)</f>
        <v/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</row>
    <row r="10" spans="2:77" ht="19.5" customHeight="1" x14ac:dyDescent="0.3">
      <c r="B10" s="13" t="s">
        <v>29</v>
      </c>
      <c r="C10" s="14"/>
      <c r="D10" s="15">
        <v>0</v>
      </c>
      <c r="E10" s="16"/>
      <c r="F10" s="16"/>
      <c r="G10" s="17" t="str">
        <f>IF(OR(ISBLANK(E10),ISBLANK(F10)),"",F10-E10+1)</f>
        <v/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</row>
    <row r="11" spans="2:77" ht="21.75" customHeight="1" x14ac:dyDescent="0.3">
      <c r="B11" s="34" t="s">
        <v>30</v>
      </c>
      <c r="C11" s="34"/>
      <c r="D11" s="26"/>
      <c r="E11" s="27"/>
      <c r="F11" s="27"/>
      <c r="G11" s="2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</row>
    <row r="12" spans="2:77" ht="19.5" customHeight="1" x14ac:dyDescent="0.3">
      <c r="B12" s="13" t="s">
        <v>25</v>
      </c>
      <c r="C12" s="14"/>
      <c r="D12" s="15">
        <v>0</v>
      </c>
      <c r="E12" s="16"/>
      <c r="F12" s="16"/>
      <c r="G12" s="17" t="str">
        <f>IF(OR(ISBLANK(E12),ISBLANK(F12)),"",F12-E12+1)</f>
        <v/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</row>
    <row r="13" spans="2:77" ht="19.5" customHeight="1" x14ac:dyDescent="0.3">
      <c r="B13" s="19" t="s">
        <v>26</v>
      </c>
      <c r="C13" s="20"/>
      <c r="D13" s="21">
        <v>0</v>
      </c>
      <c r="E13" s="25"/>
      <c r="F13" s="25"/>
      <c r="G13" s="23" t="str">
        <f>IF(OR(ISBLANK(E13),ISBLANK(F13)),"",F13-E13+1)</f>
        <v/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</row>
    <row r="14" spans="2:77" ht="19.5" customHeight="1" x14ac:dyDescent="0.3">
      <c r="B14" s="13" t="s">
        <v>27</v>
      </c>
      <c r="C14" s="14"/>
      <c r="D14" s="15">
        <v>0</v>
      </c>
      <c r="E14" s="16"/>
      <c r="F14" s="16"/>
      <c r="G14" s="17" t="str">
        <f>IF(OR(ISBLANK(E14),ISBLANK(F14)),"",F14-E14+1)</f>
        <v/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</row>
    <row r="15" spans="2:77" ht="19.5" customHeight="1" x14ac:dyDescent="0.3">
      <c r="B15" s="19" t="s">
        <v>28</v>
      </c>
      <c r="C15" s="20"/>
      <c r="D15" s="21">
        <v>0</v>
      </c>
      <c r="E15" s="25"/>
      <c r="F15" s="25"/>
      <c r="G15" s="23" t="str">
        <f>IF(OR(ISBLANK(E15),ISBLANK(F15)),"",F15-E15+1)</f>
        <v/>
      </c>
      <c r="H15" s="24"/>
      <c r="I15" s="24"/>
      <c r="J15" s="24"/>
      <c r="K15" s="24"/>
      <c r="L15" s="24"/>
      <c r="M15" s="24"/>
      <c r="N15" s="24"/>
      <c r="O15" s="24"/>
      <c r="P15" s="24"/>
      <c r="Q15" s="28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</row>
    <row r="16" spans="2:77" ht="19.5" customHeight="1" x14ac:dyDescent="0.3">
      <c r="B16" s="13" t="s">
        <v>29</v>
      </c>
      <c r="C16" s="14"/>
      <c r="D16" s="15">
        <v>0</v>
      </c>
      <c r="E16" s="16"/>
      <c r="F16" s="16"/>
      <c r="G16" s="17" t="str">
        <f>IF(OR(ISBLANK(E16),ISBLANK(F16)),"",F16-E16+1)</f>
        <v/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</row>
    <row r="17" spans="2:77" ht="21.75" customHeight="1" x14ac:dyDescent="0.3">
      <c r="B17" s="34" t="s">
        <v>31</v>
      </c>
      <c r="C17" s="34"/>
      <c r="D17" s="26"/>
      <c r="E17" s="27"/>
      <c r="F17" s="27"/>
      <c r="G17" s="2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</row>
    <row r="18" spans="2:77" ht="19.5" customHeight="1" x14ac:dyDescent="0.3">
      <c r="B18" s="13" t="s">
        <v>25</v>
      </c>
      <c r="C18" s="14"/>
      <c r="D18" s="15">
        <v>0</v>
      </c>
      <c r="E18" s="16"/>
      <c r="F18" s="16"/>
      <c r="G18" s="17" t="str">
        <f>IF(OR(ISBLANK(E18),ISBLANK(F18)),"",F18-E18+1)</f>
        <v/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</row>
    <row r="19" spans="2:77" ht="19.5" customHeight="1" x14ac:dyDescent="0.3">
      <c r="B19" s="19" t="s">
        <v>26</v>
      </c>
      <c r="C19" s="20"/>
      <c r="D19" s="21">
        <v>0</v>
      </c>
      <c r="E19" s="25"/>
      <c r="F19" s="25"/>
      <c r="G19" s="23" t="str">
        <f>IF(OR(ISBLANK(E19),ISBLANK(F19)),"",F19-E19+1)</f>
        <v/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</row>
    <row r="20" spans="2:77" ht="19.5" customHeight="1" x14ac:dyDescent="0.3">
      <c r="B20" s="13" t="s">
        <v>27</v>
      </c>
      <c r="C20" s="14"/>
      <c r="D20" s="15">
        <v>0</v>
      </c>
      <c r="E20" s="16"/>
      <c r="F20" s="16"/>
      <c r="G20" s="17" t="str">
        <f>IF(OR(ISBLANK(E20),ISBLANK(F20)),"",F20-E20+1)</f>
        <v/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</row>
    <row r="21" spans="2:77" ht="19.5" customHeight="1" x14ac:dyDescent="0.3">
      <c r="B21" s="19" t="s">
        <v>28</v>
      </c>
      <c r="C21" s="20"/>
      <c r="D21" s="21">
        <v>0</v>
      </c>
      <c r="E21" s="25"/>
      <c r="F21" s="25"/>
      <c r="G21" s="23" t="str">
        <f>IF(OR(ISBLANK(E21),ISBLANK(F21)),"",F21-E21+1)</f>
        <v/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</row>
    <row r="22" spans="2:77" ht="19.5" customHeight="1" x14ac:dyDescent="0.3">
      <c r="B22" s="13" t="s">
        <v>29</v>
      </c>
      <c r="C22" s="14"/>
      <c r="D22" s="15">
        <v>0</v>
      </c>
      <c r="E22" s="16"/>
      <c r="F22" s="16"/>
      <c r="G22" s="17" t="str">
        <f>IF(OR(ISBLANK(E22),ISBLANK(F22)),"",F22-E22+1)</f>
        <v/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</row>
    <row r="23" spans="2:77" ht="21.75" customHeight="1" x14ac:dyDescent="0.3">
      <c r="B23" s="34" t="s">
        <v>32</v>
      </c>
      <c r="C23" s="34"/>
      <c r="D23" s="26"/>
      <c r="E23" s="27"/>
      <c r="F23" s="27"/>
      <c r="G23" s="2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</row>
    <row r="24" spans="2:77" ht="19.5" customHeight="1" x14ac:dyDescent="0.3">
      <c r="B24" s="13" t="s">
        <v>25</v>
      </c>
      <c r="C24" s="14"/>
      <c r="D24" s="15">
        <v>0</v>
      </c>
      <c r="E24" s="16"/>
      <c r="F24" s="16"/>
      <c r="G24" s="17" t="str">
        <f>IF(OR(ISBLANK(E24),ISBLANK(F24)),"",F24-E24+1)</f>
        <v/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</row>
    <row r="25" spans="2:77" ht="19.5" customHeight="1" x14ac:dyDescent="0.3">
      <c r="B25" s="19" t="s">
        <v>26</v>
      </c>
      <c r="C25" s="20"/>
      <c r="D25" s="21">
        <v>0</v>
      </c>
      <c r="E25" s="25"/>
      <c r="F25" s="25"/>
      <c r="G25" s="23" t="str">
        <f>IF(OR(ISBLANK(E25),ISBLANK(F25)),"",F25-E25+1)</f>
        <v/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</row>
    <row r="26" spans="2:77" ht="19.5" customHeight="1" x14ac:dyDescent="0.3">
      <c r="B26" s="13" t="s">
        <v>27</v>
      </c>
      <c r="C26" s="14"/>
      <c r="D26" s="15">
        <v>0</v>
      </c>
      <c r="E26" s="16"/>
      <c r="F26" s="16"/>
      <c r="G26" s="17" t="str">
        <f>IF(OR(ISBLANK(E26),ISBLANK(F26)),"",F26-E26+1)</f>
        <v/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</row>
    <row r="27" spans="2:77" ht="19.5" customHeight="1" x14ac:dyDescent="0.3">
      <c r="B27" s="19" t="s">
        <v>28</v>
      </c>
      <c r="C27" s="20"/>
      <c r="D27" s="21">
        <v>0</v>
      </c>
      <c r="E27" s="25"/>
      <c r="F27" s="25"/>
      <c r="G27" s="23" t="str">
        <f>IF(OR(ISBLANK(E27),ISBLANK(F27)),"",F27-E27+1)</f>
        <v/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</row>
    <row r="28" spans="2:77" ht="19.5" customHeight="1" x14ac:dyDescent="0.3">
      <c r="B28" s="13" t="s">
        <v>29</v>
      </c>
      <c r="C28" s="14"/>
      <c r="D28" s="15">
        <v>0</v>
      </c>
      <c r="E28" s="16"/>
      <c r="F28" s="16"/>
      <c r="G28" s="17" t="str">
        <f>IF(OR(ISBLANK(E28),ISBLANK(F28)),"",F28-E28+1)</f>
        <v/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</row>
    <row r="29" spans="2:77" ht="14.25" customHeight="1" x14ac:dyDescent="0.3"/>
    <row r="30" spans="2:77" ht="14.25" customHeight="1" x14ac:dyDescent="0.3"/>
    <row r="31" spans="2:77" ht="14.25" customHeight="1" x14ac:dyDescent="0.3"/>
    <row r="32" spans="2:7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25">
    <mergeCell ref="AE1:AI1"/>
    <mergeCell ref="H2:M2"/>
    <mergeCell ref="N2:U2"/>
    <mergeCell ref="V2:Z2"/>
    <mergeCell ref="AA2:AD2"/>
    <mergeCell ref="AE2:AI2"/>
    <mergeCell ref="H1:M1"/>
    <mergeCell ref="N1:U1"/>
    <mergeCell ref="V1:Z1"/>
    <mergeCell ref="AA1:AD1"/>
    <mergeCell ref="BS3:BY3"/>
    <mergeCell ref="B5:C5"/>
    <mergeCell ref="B11:C11"/>
    <mergeCell ref="B17:C17"/>
    <mergeCell ref="B23:C23"/>
    <mergeCell ref="AJ3:AP3"/>
    <mergeCell ref="AQ3:AW3"/>
    <mergeCell ref="AX3:BD3"/>
    <mergeCell ref="BE3:BK3"/>
    <mergeCell ref="BL3:BR3"/>
    <mergeCell ref="B1:G3"/>
    <mergeCell ref="H3:N3"/>
    <mergeCell ref="O3:U3"/>
    <mergeCell ref="V3:AB3"/>
    <mergeCell ref="AC3:AI3"/>
  </mergeCells>
  <conditionalFormatting sqref="D6:D28">
    <cfRule type="colorScale" priority="2">
      <colorScale>
        <cfvo type="formula" val="0"/>
        <cfvo type="formula" val="0.5"/>
        <cfvo type="formula" val="1"/>
        <color rgb="FFFF0000"/>
        <color rgb="FFFFFF00"/>
        <color rgb="FF70AD47"/>
      </colorScale>
    </cfRule>
  </conditionalFormatting>
  <conditionalFormatting sqref="H6:H10">
    <cfRule type="expression" dxfId="561" priority="3">
      <formula>AND(NOT(ISBLANK(E6)),NOT(ISBLANK(F6)),D6&gt;0,E6&lt;=H$4,ROUNDDOWN((F6-E6+1)*D6,0)+E6-1&gt;=H$4)</formula>
    </cfRule>
    <cfRule type="expression" dxfId="560" priority="4">
      <formula>AND(NOT(ISBLANK(E6)),NOT(ISBLANK(F6)),E6&lt;=H$4,F6&gt;=H$4)</formula>
    </cfRule>
  </conditionalFormatting>
  <conditionalFormatting sqref="H12:H16">
    <cfRule type="expression" dxfId="559" priority="5">
      <formula>AND(NOT(ISBLANK(E12)),NOT(ISBLANK(F12)),D12&gt;0,E12&lt;=H$4,ROUNDDOWN((F12-E12+1)*D12,0)+E12-1&gt;=H$4)</formula>
    </cfRule>
    <cfRule type="expression" dxfId="558" priority="6">
      <formula>AND(NOT(ISBLANK(E12)),NOT(ISBLANK(F12)),E12&lt;=H$4,F12&gt;=H$4)</formula>
    </cfRule>
  </conditionalFormatting>
  <conditionalFormatting sqref="H18:H22">
    <cfRule type="expression" dxfId="557" priority="7">
      <formula>AND(NOT(ISBLANK(E18)),NOT(ISBLANK(F18)),D18&gt;0,E18&lt;=H$4,ROUNDDOWN((F18-E18+1)*D18,0)+E18-1&gt;=H$4)</formula>
    </cfRule>
    <cfRule type="expression" dxfId="556" priority="8">
      <formula>AND(NOT(ISBLANK(E18)),NOT(ISBLANK(F18)),E18&lt;=H$4,F18&gt;=H$4)</formula>
    </cfRule>
  </conditionalFormatting>
  <conditionalFormatting sqref="H24:H28">
    <cfRule type="expression" dxfId="555" priority="9">
      <formula>AND(NOT(ISBLANK(E24)),NOT(ISBLANK(F24)),D24&gt;0,E24&lt;=H$4,ROUNDDOWN((F24-E24+1)*D24,0)+E24-1&gt;=H$4)</formula>
    </cfRule>
    <cfRule type="expression" dxfId="554" priority="10">
      <formula>AND(NOT(ISBLANK(E24)),NOT(ISBLANK(F24)),E24&lt;=H$4,F24&gt;=H$4)</formula>
    </cfRule>
  </conditionalFormatting>
  <conditionalFormatting sqref="H4:BY28">
    <cfRule type="expression" dxfId="553" priority="563">
      <formula>AND(OR(EXACT($AJ$2,"x"),EXACT($AJ$2,"X")),H$4=TODAY())</formula>
    </cfRule>
    <cfRule type="expression" dxfId="552" priority="564">
      <formula>AND(NOT(ISBLANK($AA$2)),H$4=$AA$2)</formula>
    </cfRule>
  </conditionalFormatting>
  <conditionalFormatting sqref="I6:I10">
    <cfRule type="expression" dxfId="551" priority="11">
      <formula>AND(NOT(ISBLANK(E6)),NOT(ISBLANK(F6)),D6&gt;0,E6&lt;=I$4,ROUNDDOWN((F6-E6+1)*D6,0)+E6-1&gt;=I$4)</formula>
    </cfRule>
    <cfRule type="expression" dxfId="550" priority="12">
      <formula>AND(NOT(ISBLANK(E6)),NOT(ISBLANK(F6)),E6&lt;=I$4,F6&gt;=I$4)</formula>
    </cfRule>
  </conditionalFormatting>
  <conditionalFormatting sqref="I12:I16">
    <cfRule type="expression" dxfId="549" priority="13">
      <formula>AND(NOT(ISBLANK(E12)),NOT(ISBLANK(F12)),D12&gt;0,E12&lt;=I$4,ROUNDDOWN((F12-E12+1)*D12,0)+E12-1&gt;=I$4)</formula>
    </cfRule>
    <cfRule type="expression" dxfId="548" priority="14">
      <formula>AND(NOT(ISBLANK(E12)),NOT(ISBLANK(F12)),E12&lt;=I$4,F12&gt;=I$4)</formula>
    </cfRule>
  </conditionalFormatting>
  <conditionalFormatting sqref="I18:I22">
    <cfRule type="expression" dxfId="547" priority="15">
      <formula>AND(NOT(ISBLANK(E18)),NOT(ISBLANK(F18)),D18&gt;0,E18&lt;=I$4,ROUNDDOWN((F18-E18+1)*D18,0)+E18-1&gt;=I$4)</formula>
    </cfRule>
    <cfRule type="expression" dxfId="546" priority="16">
      <formula>AND(NOT(ISBLANK(E18)),NOT(ISBLANK(F18)),E18&lt;=I$4,F18&gt;=I$4)</formula>
    </cfRule>
  </conditionalFormatting>
  <conditionalFormatting sqref="I24:I28">
    <cfRule type="expression" dxfId="545" priority="17">
      <formula>AND(NOT(ISBLANK(E24)),NOT(ISBLANK(F24)),D24&gt;0,E24&lt;=I$4,ROUNDDOWN((F24-E24+1)*D24,0)+E24-1&gt;=I$4)</formula>
    </cfRule>
    <cfRule type="expression" dxfId="544" priority="18">
      <formula>AND(NOT(ISBLANK(E24)),NOT(ISBLANK(F24)),E24&lt;=I$4,F24&gt;=I$4)</formula>
    </cfRule>
  </conditionalFormatting>
  <conditionalFormatting sqref="J6:J10">
    <cfRule type="expression" dxfId="543" priority="19">
      <formula>AND(NOT(ISBLANK(E6)),NOT(ISBLANK(F6)),D6&gt;0,E6&lt;=J$4,ROUNDDOWN((F6-E6+1)*D6,0)+E6-1&gt;=J$4)</formula>
    </cfRule>
    <cfRule type="expression" dxfId="542" priority="20">
      <formula>AND(NOT(ISBLANK(E6)),NOT(ISBLANK(F6)),E6&lt;=J$4,F6&gt;=J$4)</formula>
    </cfRule>
  </conditionalFormatting>
  <conditionalFormatting sqref="J12:J16">
    <cfRule type="expression" dxfId="541" priority="22">
      <formula>AND(NOT(ISBLANK(E12)),NOT(ISBLANK(F12)),E12&lt;=J$4,F12&gt;=J$4)</formula>
    </cfRule>
    <cfRule type="expression" dxfId="540" priority="21">
      <formula>AND(NOT(ISBLANK(E12)),NOT(ISBLANK(F12)),D12&gt;0,E12&lt;=J$4,ROUNDDOWN((F12-E12+1)*D12,0)+E12-1&gt;=J$4)</formula>
    </cfRule>
  </conditionalFormatting>
  <conditionalFormatting sqref="J18:J22">
    <cfRule type="expression" dxfId="539" priority="23">
      <formula>AND(NOT(ISBLANK(E18)),NOT(ISBLANK(F18)),D18&gt;0,E18&lt;=J$4,ROUNDDOWN((F18-E18+1)*D18,0)+E18-1&gt;=J$4)</formula>
    </cfRule>
    <cfRule type="expression" dxfId="538" priority="24">
      <formula>AND(NOT(ISBLANK(E18)),NOT(ISBLANK(F18)),E18&lt;=J$4,F18&gt;=J$4)</formula>
    </cfRule>
  </conditionalFormatting>
  <conditionalFormatting sqref="J24:J28">
    <cfRule type="expression" dxfId="537" priority="25">
      <formula>AND(NOT(ISBLANK(E24)),NOT(ISBLANK(F24)),D24&gt;0,E24&lt;=J$4,ROUNDDOWN((F24-E24+1)*D24,0)+E24-1&gt;=J$4)</formula>
    </cfRule>
    <cfRule type="expression" dxfId="536" priority="26">
      <formula>AND(NOT(ISBLANK(E24)),NOT(ISBLANK(F24)),E24&lt;=J$4,F24&gt;=J$4)</formula>
    </cfRule>
  </conditionalFormatting>
  <conditionalFormatting sqref="K6:K10">
    <cfRule type="expression" dxfId="535" priority="27">
      <formula>AND(NOT(ISBLANK(E6)),NOT(ISBLANK(F6)),D6&gt;0,E6&lt;=K$4,ROUNDDOWN((F6-E6+1)*D6,0)+E6-1&gt;=K$4)</formula>
    </cfRule>
    <cfRule type="expression" dxfId="534" priority="28">
      <formula>AND(NOT(ISBLANK(E6)),NOT(ISBLANK(F6)),E6&lt;=K$4,F6&gt;=K$4)</formula>
    </cfRule>
  </conditionalFormatting>
  <conditionalFormatting sqref="K12:K16">
    <cfRule type="expression" dxfId="533" priority="29">
      <formula>AND(NOT(ISBLANK(E12)),NOT(ISBLANK(F12)),D12&gt;0,E12&lt;=K$4,ROUNDDOWN((F12-E12+1)*D12,0)+E12-1&gt;=K$4)</formula>
    </cfRule>
    <cfRule type="expression" dxfId="532" priority="30">
      <formula>AND(NOT(ISBLANK(E12)),NOT(ISBLANK(F12)),E12&lt;=K$4,F12&gt;=K$4)</formula>
    </cfRule>
  </conditionalFormatting>
  <conditionalFormatting sqref="K18:K22">
    <cfRule type="expression" dxfId="531" priority="31">
      <formula>AND(NOT(ISBLANK(E18)),NOT(ISBLANK(F18)),D18&gt;0,E18&lt;=K$4,ROUNDDOWN((F18-E18+1)*D18,0)+E18-1&gt;=K$4)</formula>
    </cfRule>
    <cfRule type="expression" dxfId="530" priority="32">
      <formula>AND(NOT(ISBLANK(E18)),NOT(ISBLANK(F18)),E18&lt;=K$4,F18&gt;=K$4)</formula>
    </cfRule>
  </conditionalFormatting>
  <conditionalFormatting sqref="K24:K28">
    <cfRule type="expression" dxfId="529" priority="33">
      <formula>AND(NOT(ISBLANK(E24)),NOT(ISBLANK(F24)),D24&gt;0,E24&lt;=K$4,ROUNDDOWN((F24-E24+1)*D24,0)+E24-1&gt;=K$4)</formula>
    </cfRule>
    <cfRule type="expression" dxfId="528" priority="34">
      <formula>AND(NOT(ISBLANK(E24)),NOT(ISBLANK(F24)),E24&lt;=K$4,F24&gt;=K$4)</formula>
    </cfRule>
  </conditionalFormatting>
  <conditionalFormatting sqref="L6:L10">
    <cfRule type="expression" dxfId="527" priority="35">
      <formula>AND(NOT(ISBLANK(E6)),NOT(ISBLANK(F6)),D6&gt;0,E6&lt;=L$4,ROUNDDOWN((F6-E6+1)*D6,0)+E6-1&gt;=L$4)</formula>
    </cfRule>
    <cfRule type="expression" dxfId="526" priority="36">
      <formula>AND(NOT(ISBLANK(E6)),NOT(ISBLANK(F6)),E6&lt;=L$4,F6&gt;=L$4)</formula>
    </cfRule>
  </conditionalFormatting>
  <conditionalFormatting sqref="L12:L16">
    <cfRule type="expression" dxfId="525" priority="37">
      <formula>AND(NOT(ISBLANK(E12)),NOT(ISBLANK(F12)),D12&gt;0,E12&lt;=L$4,ROUNDDOWN((F12-E12+1)*D12,0)+E12-1&gt;=L$4)</formula>
    </cfRule>
    <cfRule type="expression" dxfId="524" priority="38">
      <formula>AND(NOT(ISBLANK(E12)),NOT(ISBLANK(F12)),E12&lt;=L$4,F12&gt;=L$4)</formula>
    </cfRule>
  </conditionalFormatting>
  <conditionalFormatting sqref="L18:L22">
    <cfRule type="expression" dxfId="523" priority="39">
      <formula>AND(NOT(ISBLANK(E18)),NOT(ISBLANK(F18)),D18&gt;0,E18&lt;=L$4,ROUNDDOWN((F18-E18+1)*D18,0)+E18-1&gt;=L$4)</formula>
    </cfRule>
    <cfRule type="expression" dxfId="522" priority="40">
      <formula>AND(NOT(ISBLANK(E18)),NOT(ISBLANK(F18)),E18&lt;=L$4,F18&gt;=L$4)</formula>
    </cfRule>
  </conditionalFormatting>
  <conditionalFormatting sqref="L24:L28">
    <cfRule type="expression" dxfId="521" priority="41">
      <formula>AND(NOT(ISBLANK(E24)),NOT(ISBLANK(F24)),D24&gt;0,E24&lt;=L$4,ROUNDDOWN((F24-E24+1)*D24,0)+E24-1&gt;=L$4)</formula>
    </cfRule>
    <cfRule type="expression" dxfId="520" priority="42">
      <formula>AND(NOT(ISBLANK(E24)),NOT(ISBLANK(F24)),E24&lt;=L$4,F24&gt;=L$4)</formula>
    </cfRule>
  </conditionalFormatting>
  <conditionalFormatting sqref="M6:M10">
    <cfRule type="expression" dxfId="519" priority="43">
      <formula>AND(NOT(ISBLANK(E6)),NOT(ISBLANK(F6)),D6&gt;0,E6&lt;=M$4,ROUNDDOWN((F6-E6+1)*D6,0)+E6-1&gt;=M$4)</formula>
    </cfRule>
    <cfRule type="expression" dxfId="518" priority="44">
      <formula>AND(NOT(ISBLANK(E6)),NOT(ISBLANK(F6)),E6&lt;=M$4,F6&gt;=M$4)</formula>
    </cfRule>
  </conditionalFormatting>
  <conditionalFormatting sqref="M12:M16">
    <cfRule type="expression" dxfId="517" priority="45">
      <formula>AND(NOT(ISBLANK(E12)),NOT(ISBLANK(F12)),D12&gt;0,E12&lt;=M$4,ROUNDDOWN((F12-E12+1)*D12,0)+E12-1&gt;=M$4)</formula>
    </cfRule>
    <cfRule type="expression" dxfId="516" priority="46">
      <formula>AND(NOT(ISBLANK(E12)),NOT(ISBLANK(F12)),E12&lt;=M$4,F12&gt;=M$4)</formula>
    </cfRule>
  </conditionalFormatting>
  <conditionalFormatting sqref="M18:M22">
    <cfRule type="expression" dxfId="515" priority="47">
      <formula>AND(NOT(ISBLANK(E18)),NOT(ISBLANK(F18)),D18&gt;0,E18&lt;=M$4,ROUNDDOWN((F18-E18+1)*D18,0)+E18-1&gt;=M$4)</formula>
    </cfRule>
    <cfRule type="expression" dxfId="514" priority="48">
      <formula>AND(NOT(ISBLANK(E18)),NOT(ISBLANK(F18)),E18&lt;=M$4,F18&gt;=M$4)</formula>
    </cfRule>
  </conditionalFormatting>
  <conditionalFormatting sqref="M24:M28">
    <cfRule type="expression" dxfId="513" priority="49">
      <formula>AND(NOT(ISBLANK(E24)),NOT(ISBLANK(F24)),D24&gt;0,E24&lt;=M$4,ROUNDDOWN((F24-E24+1)*D24,0)+E24-1&gt;=M$4)</formula>
    </cfRule>
    <cfRule type="expression" dxfId="512" priority="50">
      <formula>AND(NOT(ISBLANK(E24)),NOT(ISBLANK(F24)),E24&lt;=M$4,F24&gt;=M$4)</formula>
    </cfRule>
  </conditionalFormatting>
  <conditionalFormatting sqref="N6:N10">
    <cfRule type="expression" dxfId="511" priority="51">
      <formula>AND(NOT(ISBLANK(E6)),NOT(ISBLANK(F6)),D6&gt;0,E6&lt;=N$4,ROUNDDOWN((F6-E6+1)*D6,0)+E6-1&gt;=N$4)</formula>
    </cfRule>
    <cfRule type="expression" dxfId="510" priority="52">
      <formula>AND(NOT(ISBLANK(E6)),NOT(ISBLANK(F6)),E6&lt;=N$4,F6&gt;=N$4)</formula>
    </cfRule>
  </conditionalFormatting>
  <conditionalFormatting sqref="N12:N16">
    <cfRule type="expression" dxfId="509" priority="53">
      <formula>AND(NOT(ISBLANK(E12)),NOT(ISBLANK(F12)),D12&gt;0,E12&lt;=N$4,ROUNDDOWN((F12-E12+1)*D12,0)+E12-1&gt;=N$4)</formula>
    </cfRule>
    <cfRule type="expression" dxfId="508" priority="54">
      <formula>AND(NOT(ISBLANK(E12)),NOT(ISBLANK(F12)),E12&lt;=N$4,F12&gt;=N$4)</formula>
    </cfRule>
  </conditionalFormatting>
  <conditionalFormatting sqref="N18:N22">
    <cfRule type="expression" dxfId="507" priority="55">
      <formula>AND(NOT(ISBLANK(E18)),NOT(ISBLANK(F18)),D18&gt;0,E18&lt;=N$4,ROUNDDOWN((F18-E18+1)*D18,0)+E18-1&gt;=N$4)</formula>
    </cfRule>
    <cfRule type="expression" dxfId="506" priority="56">
      <formula>AND(NOT(ISBLANK(E18)),NOT(ISBLANK(F18)),E18&lt;=N$4,F18&gt;=N$4)</formula>
    </cfRule>
  </conditionalFormatting>
  <conditionalFormatting sqref="N24:N28">
    <cfRule type="expression" dxfId="505" priority="57">
      <formula>AND(NOT(ISBLANK(E24)),NOT(ISBLANK(F24)),D24&gt;0,E24&lt;=N$4,ROUNDDOWN((F24-E24+1)*D24,0)+E24-1&gt;=N$4)</formula>
    </cfRule>
    <cfRule type="expression" dxfId="504" priority="58">
      <formula>AND(NOT(ISBLANK(E24)),NOT(ISBLANK(F24)),E24&lt;=N$4,F24&gt;=N$4)</formula>
    </cfRule>
  </conditionalFormatting>
  <conditionalFormatting sqref="O6:O10">
    <cfRule type="expression" dxfId="503" priority="59">
      <formula>AND(NOT(ISBLANK(E6)),NOT(ISBLANK(F6)),D6&gt;0,E6&lt;=O$4,ROUNDDOWN((F6-E6+1)*D6,0)+E6-1&gt;=O$4)</formula>
    </cfRule>
    <cfRule type="expression" dxfId="502" priority="60">
      <formula>AND(NOT(ISBLANK(E6)),NOT(ISBLANK(F6)),E6&lt;=O$4,F6&gt;=O$4)</formula>
    </cfRule>
  </conditionalFormatting>
  <conditionalFormatting sqref="O12:O16">
    <cfRule type="expression" dxfId="501" priority="61">
      <formula>AND(NOT(ISBLANK(E12)),NOT(ISBLANK(F12)),D12&gt;0,E12&lt;=O$4,ROUNDDOWN((F12-E12+1)*D12,0)+E12-1&gt;=O$4)</formula>
    </cfRule>
    <cfRule type="expression" dxfId="500" priority="62">
      <formula>AND(NOT(ISBLANK(E12)),NOT(ISBLANK(F12)),E12&lt;=O$4,F12&gt;=O$4)</formula>
    </cfRule>
  </conditionalFormatting>
  <conditionalFormatting sqref="O18:O22">
    <cfRule type="expression" dxfId="499" priority="63">
      <formula>AND(NOT(ISBLANK(E18)),NOT(ISBLANK(F18)),D18&gt;0,E18&lt;=O$4,ROUNDDOWN((F18-E18+1)*D18,0)+E18-1&gt;=O$4)</formula>
    </cfRule>
    <cfRule type="expression" dxfId="498" priority="64">
      <formula>AND(NOT(ISBLANK(E18)),NOT(ISBLANK(F18)),E18&lt;=O$4,F18&gt;=O$4)</formula>
    </cfRule>
  </conditionalFormatting>
  <conditionalFormatting sqref="O24:O28">
    <cfRule type="expression" dxfId="497" priority="66">
      <formula>AND(NOT(ISBLANK(E24)),NOT(ISBLANK(F24)),E24&lt;=O$4,F24&gt;=O$4)</formula>
    </cfRule>
    <cfRule type="expression" dxfId="496" priority="65">
      <formula>AND(NOT(ISBLANK(E24)),NOT(ISBLANK(F24)),D24&gt;0,E24&lt;=O$4,ROUNDDOWN((F24-E24+1)*D24,0)+E24-1&gt;=O$4)</formula>
    </cfRule>
  </conditionalFormatting>
  <conditionalFormatting sqref="P6:P10">
    <cfRule type="expression" dxfId="495" priority="67">
      <formula>AND(NOT(ISBLANK(E6)),NOT(ISBLANK(F6)),D6&gt;0,E6&lt;=P$4,ROUNDDOWN((F6-E6+1)*D6,0)+E6-1&gt;=P$4)</formula>
    </cfRule>
    <cfRule type="expression" dxfId="494" priority="68">
      <formula>AND(NOT(ISBLANK(E6)),NOT(ISBLANK(F6)),E6&lt;=P$4,F6&gt;=P$4)</formula>
    </cfRule>
  </conditionalFormatting>
  <conditionalFormatting sqref="P12:P16">
    <cfRule type="expression" dxfId="493" priority="69">
      <formula>AND(NOT(ISBLANK(E12)),NOT(ISBLANK(F12)),D12&gt;0,E12&lt;=P$4,ROUNDDOWN((F12-E12+1)*D12,0)+E12-1&gt;=P$4)</formula>
    </cfRule>
    <cfRule type="expression" dxfId="492" priority="70">
      <formula>AND(NOT(ISBLANK(E12)),NOT(ISBLANK(F12)),E12&lt;=P$4,F12&gt;=P$4)</formula>
    </cfRule>
  </conditionalFormatting>
  <conditionalFormatting sqref="P18:P22">
    <cfRule type="expression" dxfId="491" priority="71">
      <formula>AND(NOT(ISBLANK(E18)),NOT(ISBLANK(F18)),D18&gt;0,E18&lt;=P$4,ROUNDDOWN((F18-E18+1)*D18,0)+E18-1&gt;=P$4)</formula>
    </cfRule>
    <cfRule type="expression" dxfId="490" priority="72">
      <formula>AND(NOT(ISBLANK(E18)),NOT(ISBLANK(F18)),E18&lt;=P$4,F18&gt;=P$4)</formula>
    </cfRule>
  </conditionalFormatting>
  <conditionalFormatting sqref="P24:P28">
    <cfRule type="expression" dxfId="489" priority="73">
      <formula>AND(NOT(ISBLANK(E24)),NOT(ISBLANK(F24)),D24&gt;0,E24&lt;=P$4,ROUNDDOWN((F24-E24+1)*D24,0)+E24-1&gt;=P$4)</formula>
    </cfRule>
    <cfRule type="expression" dxfId="488" priority="74">
      <formula>AND(NOT(ISBLANK(E24)),NOT(ISBLANK(F24)),E24&lt;=P$4,F24&gt;=P$4)</formula>
    </cfRule>
  </conditionalFormatting>
  <conditionalFormatting sqref="Q6:Q10">
    <cfRule type="expression" dxfId="487" priority="76">
      <formula>AND(NOT(ISBLANK(E6)),NOT(ISBLANK(F6)),E6&lt;=Q$4,F6&gt;=Q$4)</formula>
    </cfRule>
    <cfRule type="expression" dxfId="486" priority="75">
      <formula>AND(NOT(ISBLANK(E6)),NOT(ISBLANK(F6)),D6&gt;0,E6&lt;=Q$4,ROUNDDOWN((F6-E6+1)*D6,0)+E6-1&gt;=Q$4)</formula>
    </cfRule>
  </conditionalFormatting>
  <conditionalFormatting sqref="Q12:Q16">
    <cfRule type="expression" dxfId="485" priority="78">
      <formula>AND(NOT(ISBLANK(E12)),NOT(ISBLANK(F12)),E12&lt;=Q$4,F12&gt;=Q$4)</formula>
    </cfRule>
    <cfRule type="expression" dxfId="484" priority="77">
      <formula>AND(NOT(ISBLANK(E12)),NOT(ISBLANK(F12)),D12&gt;0,E12&lt;=Q$4,ROUNDDOWN((F12-E12+1)*D12,0)+E12-1&gt;=Q$4)</formula>
    </cfRule>
  </conditionalFormatting>
  <conditionalFormatting sqref="Q18:Q22">
    <cfRule type="expression" dxfId="483" priority="79">
      <formula>AND(NOT(ISBLANK(E18)),NOT(ISBLANK(F18)),D18&gt;0,E18&lt;=Q$4,ROUNDDOWN((F18-E18+1)*D18,0)+E18-1&gt;=Q$4)</formula>
    </cfRule>
    <cfRule type="expression" dxfId="482" priority="80">
      <formula>AND(NOT(ISBLANK(E18)),NOT(ISBLANK(F18)),E18&lt;=Q$4,F18&gt;=Q$4)</formula>
    </cfRule>
  </conditionalFormatting>
  <conditionalFormatting sqref="Q24:Q28">
    <cfRule type="expression" dxfId="481" priority="81">
      <formula>AND(NOT(ISBLANK(E24)),NOT(ISBLANK(F24)),D24&gt;0,E24&lt;=Q$4,ROUNDDOWN((F24-E24+1)*D24,0)+E24-1&gt;=Q$4)</formula>
    </cfRule>
    <cfRule type="expression" dxfId="480" priority="82">
      <formula>AND(NOT(ISBLANK(E24)),NOT(ISBLANK(F24)),E24&lt;=Q$4,F24&gt;=Q$4)</formula>
    </cfRule>
  </conditionalFormatting>
  <conditionalFormatting sqref="R6:R10">
    <cfRule type="expression" dxfId="479" priority="83">
      <formula>AND(NOT(ISBLANK(E6)),NOT(ISBLANK(F6)),D6&gt;0,E6&lt;=R$4,ROUNDDOWN((F6-E6+1)*D6,0)+E6-1&gt;=R$4)</formula>
    </cfRule>
    <cfRule type="expression" dxfId="478" priority="84">
      <formula>AND(NOT(ISBLANK(E6)),NOT(ISBLANK(F6)),E6&lt;=R$4,F6&gt;=R$4)</formula>
    </cfRule>
  </conditionalFormatting>
  <conditionalFormatting sqref="R12:R16">
    <cfRule type="expression" dxfId="477" priority="85">
      <formula>AND(NOT(ISBLANK(E12)),NOT(ISBLANK(F12)),D12&gt;0,E12&lt;=R$4,ROUNDDOWN((F12-E12+1)*D12,0)+E12-1&gt;=R$4)</formula>
    </cfRule>
    <cfRule type="expression" dxfId="476" priority="86">
      <formula>AND(NOT(ISBLANK(E12)),NOT(ISBLANK(F12)),E12&lt;=R$4,F12&gt;=R$4)</formula>
    </cfRule>
  </conditionalFormatting>
  <conditionalFormatting sqref="R18:R22">
    <cfRule type="expression" dxfId="475" priority="87">
      <formula>AND(NOT(ISBLANK(E18)),NOT(ISBLANK(F18)),D18&gt;0,E18&lt;=R$4,ROUNDDOWN((F18-E18+1)*D18,0)+E18-1&gt;=R$4)</formula>
    </cfRule>
    <cfRule type="expression" dxfId="474" priority="88">
      <formula>AND(NOT(ISBLANK(E18)),NOT(ISBLANK(F18)),E18&lt;=R$4,F18&gt;=R$4)</formula>
    </cfRule>
  </conditionalFormatting>
  <conditionalFormatting sqref="R24:R28">
    <cfRule type="expression" dxfId="473" priority="89">
      <formula>AND(NOT(ISBLANK(E24)),NOT(ISBLANK(F24)),D24&gt;0,E24&lt;=R$4,ROUNDDOWN((F24-E24+1)*D24,0)+E24-1&gt;=R$4)</formula>
    </cfRule>
    <cfRule type="expression" dxfId="472" priority="90">
      <formula>AND(NOT(ISBLANK(E24)),NOT(ISBLANK(F24)),E24&lt;=R$4,F24&gt;=R$4)</formula>
    </cfRule>
  </conditionalFormatting>
  <conditionalFormatting sqref="S6:S10">
    <cfRule type="expression" dxfId="471" priority="91">
      <formula>AND(NOT(ISBLANK(E6)),NOT(ISBLANK(F6)),D6&gt;0,E6&lt;=S$4,ROUNDDOWN((F6-E6+1)*D6,0)+E6-1&gt;=S$4)</formula>
    </cfRule>
    <cfRule type="expression" dxfId="470" priority="92">
      <formula>AND(NOT(ISBLANK(E6)),NOT(ISBLANK(F6)),E6&lt;=S$4,F6&gt;=S$4)</formula>
    </cfRule>
  </conditionalFormatting>
  <conditionalFormatting sqref="S12:S16">
    <cfRule type="expression" dxfId="469" priority="93">
      <formula>AND(NOT(ISBLANK(E12)),NOT(ISBLANK(F12)),D12&gt;0,E12&lt;=S$4,ROUNDDOWN((F12-E12+1)*D12,0)+E12-1&gt;=S$4)</formula>
    </cfRule>
    <cfRule type="expression" dxfId="468" priority="94">
      <formula>AND(NOT(ISBLANK(E12)),NOT(ISBLANK(F12)),E12&lt;=S$4,F12&gt;=S$4)</formula>
    </cfRule>
  </conditionalFormatting>
  <conditionalFormatting sqref="S18:S22">
    <cfRule type="expression" dxfId="467" priority="96">
      <formula>AND(NOT(ISBLANK(E18)),NOT(ISBLANK(F18)),E18&lt;=S$4,F18&gt;=S$4)</formula>
    </cfRule>
    <cfRule type="expression" dxfId="466" priority="95">
      <formula>AND(NOT(ISBLANK(E18)),NOT(ISBLANK(F18)),D18&gt;0,E18&lt;=S$4,ROUNDDOWN((F18-E18+1)*D18,0)+E18-1&gt;=S$4)</formula>
    </cfRule>
  </conditionalFormatting>
  <conditionalFormatting sqref="S24:S28">
    <cfRule type="expression" dxfId="465" priority="97">
      <formula>AND(NOT(ISBLANK(E24)),NOT(ISBLANK(F24)),D24&gt;0,E24&lt;=S$4,ROUNDDOWN((F24-E24+1)*D24,0)+E24-1&gt;=S$4)</formula>
    </cfRule>
    <cfRule type="expression" dxfId="464" priority="98">
      <formula>AND(NOT(ISBLANK(E24)),NOT(ISBLANK(F24)),E24&lt;=S$4,F24&gt;=S$4)</formula>
    </cfRule>
  </conditionalFormatting>
  <conditionalFormatting sqref="T6:T10">
    <cfRule type="expression" dxfId="463" priority="99">
      <formula>AND(NOT(ISBLANK(E6)),NOT(ISBLANK(F6)),D6&gt;0,E6&lt;=T$4,ROUNDDOWN((F6-E6+1)*D6,0)+E6-1&gt;=T$4)</formula>
    </cfRule>
    <cfRule type="expression" dxfId="462" priority="100">
      <formula>AND(NOT(ISBLANK(E6)),NOT(ISBLANK(F6)),E6&lt;=T$4,F6&gt;=T$4)</formula>
    </cfRule>
  </conditionalFormatting>
  <conditionalFormatting sqref="T12:T16">
    <cfRule type="expression" dxfId="461" priority="101">
      <formula>AND(NOT(ISBLANK(E12)),NOT(ISBLANK(F12)),D12&gt;0,E12&lt;=T$4,ROUNDDOWN((F12-E12+1)*D12,0)+E12-1&gt;=T$4)</formula>
    </cfRule>
    <cfRule type="expression" dxfId="460" priority="102">
      <formula>AND(NOT(ISBLANK(E12)),NOT(ISBLANK(F12)),E12&lt;=T$4,F12&gt;=T$4)</formula>
    </cfRule>
  </conditionalFormatting>
  <conditionalFormatting sqref="T18:T22">
    <cfRule type="expression" dxfId="459" priority="103">
      <formula>AND(NOT(ISBLANK(E18)),NOT(ISBLANK(F18)),D18&gt;0,E18&lt;=T$4,ROUNDDOWN((F18-E18+1)*D18,0)+E18-1&gt;=T$4)</formula>
    </cfRule>
    <cfRule type="expression" dxfId="458" priority="104">
      <formula>AND(NOT(ISBLANK(E18)),NOT(ISBLANK(F18)),E18&lt;=T$4,F18&gt;=T$4)</formula>
    </cfRule>
  </conditionalFormatting>
  <conditionalFormatting sqref="T24:T28">
    <cfRule type="expression" dxfId="457" priority="105">
      <formula>AND(NOT(ISBLANK(E24)),NOT(ISBLANK(F24)),D24&gt;0,E24&lt;=T$4,ROUNDDOWN((F24-E24+1)*D24,0)+E24-1&gt;=T$4)</formula>
    </cfRule>
    <cfRule type="expression" dxfId="456" priority="106">
      <formula>AND(NOT(ISBLANK(E24)),NOT(ISBLANK(F24)),E24&lt;=T$4,F24&gt;=T$4)</formula>
    </cfRule>
  </conditionalFormatting>
  <conditionalFormatting sqref="U6:U10">
    <cfRule type="expression" dxfId="455" priority="107">
      <formula>AND(NOT(ISBLANK(E6)),NOT(ISBLANK(F6)),D6&gt;0,E6&lt;=U$4,ROUNDDOWN((F6-E6+1)*D6,0)+E6-1&gt;=U$4)</formula>
    </cfRule>
    <cfRule type="expression" dxfId="454" priority="108">
      <formula>AND(NOT(ISBLANK(E6)),NOT(ISBLANK(F6)),E6&lt;=U$4,F6&gt;=U$4)</formula>
    </cfRule>
  </conditionalFormatting>
  <conditionalFormatting sqref="U12:U16">
    <cfRule type="expression" dxfId="453" priority="109">
      <formula>AND(NOT(ISBLANK(E12)),NOT(ISBLANK(F12)),D12&gt;0,E12&lt;=U$4,ROUNDDOWN((F12-E12+1)*D12,0)+E12-1&gt;=U$4)</formula>
    </cfRule>
    <cfRule type="expression" dxfId="452" priority="110">
      <formula>AND(NOT(ISBLANK(E12)),NOT(ISBLANK(F12)),E12&lt;=U$4,F12&gt;=U$4)</formula>
    </cfRule>
  </conditionalFormatting>
  <conditionalFormatting sqref="U18:U22">
    <cfRule type="expression" dxfId="451" priority="111">
      <formula>AND(NOT(ISBLANK(E18)),NOT(ISBLANK(F18)),D18&gt;0,E18&lt;=U$4,ROUNDDOWN((F18-E18+1)*D18,0)+E18-1&gt;=U$4)</formula>
    </cfRule>
    <cfRule type="expression" dxfId="450" priority="112">
      <formula>AND(NOT(ISBLANK(E18)),NOT(ISBLANK(F18)),E18&lt;=U$4,F18&gt;=U$4)</formula>
    </cfRule>
  </conditionalFormatting>
  <conditionalFormatting sqref="U24:U28">
    <cfRule type="expression" dxfId="449" priority="113">
      <formula>AND(NOT(ISBLANK(E24)),NOT(ISBLANK(F24)),D24&gt;0,E24&lt;=U$4,ROUNDDOWN((F24-E24+1)*D24,0)+E24-1&gt;=U$4)</formula>
    </cfRule>
    <cfRule type="expression" dxfId="448" priority="114">
      <formula>AND(NOT(ISBLANK(E24)),NOT(ISBLANK(F24)),E24&lt;=U$4,F24&gt;=U$4)</formula>
    </cfRule>
  </conditionalFormatting>
  <conditionalFormatting sqref="V6:V10">
    <cfRule type="expression" dxfId="447" priority="115">
      <formula>AND(NOT(ISBLANK(E6)),NOT(ISBLANK(F6)),D6&gt;0,E6&lt;=V$4,ROUNDDOWN((F6-E6+1)*D6,0)+E6-1&gt;=V$4)</formula>
    </cfRule>
    <cfRule type="expression" dxfId="446" priority="116">
      <formula>AND(NOT(ISBLANK(E6)),NOT(ISBLANK(F6)),E6&lt;=V$4,F6&gt;=V$4)</formula>
    </cfRule>
  </conditionalFormatting>
  <conditionalFormatting sqref="V12:V16">
    <cfRule type="expression" dxfId="445" priority="117">
      <formula>AND(NOT(ISBLANK(E12)),NOT(ISBLANK(F12)),D12&gt;0,E12&lt;=V$4,ROUNDDOWN((F12-E12+1)*D12,0)+E12-1&gt;=V$4)</formula>
    </cfRule>
    <cfRule type="expression" dxfId="444" priority="118">
      <formula>AND(NOT(ISBLANK(E12)),NOT(ISBLANK(F12)),E12&lt;=V$4,F12&gt;=V$4)</formula>
    </cfRule>
  </conditionalFormatting>
  <conditionalFormatting sqref="V18:V22">
    <cfRule type="expression" dxfId="443" priority="119">
      <formula>AND(NOT(ISBLANK(E18)),NOT(ISBLANK(F18)),D18&gt;0,E18&lt;=V$4,ROUNDDOWN((F18-E18+1)*D18,0)+E18-1&gt;=V$4)</formula>
    </cfRule>
    <cfRule type="expression" dxfId="442" priority="120">
      <formula>AND(NOT(ISBLANK(E18)),NOT(ISBLANK(F18)),E18&lt;=V$4,F18&gt;=V$4)</formula>
    </cfRule>
  </conditionalFormatting>
  <conditionalFormatting sqref="V24:V28">
    <cfRule type="expression" dxfId="441" priority="121">
      <formula>AND(NOT(ISBLANK(E24)),NOT(ISBLANK(F24)),D24&gt;0,E24&lt;=V$4,ROUNDDOWN((F24-E24+1)*D24,0)+E24-1&gt;=V$4)</formula>
    </cfRule>
    <cfRule type="expression" dxfId="440" priority="122">
      <formula>AND(NOT(ISBLANK(E24)),NOT(ISBLANK(F24)),E24&lt;=V$4,F24&gt;=V$4)</formula>
    </cfRule>
  </conditionalFormatting>
  <conditionalFormatting sqref="W6:W10">
    <cfRule type="expression" dxfId="439" priority="123">
      <formula>AND(NOT(ISBLANK(E6)),NOT(ISBLANK(F6)),D6&gt;0,E6&lt;=W$4,ROUNDDOWN((F6-E6+1)*D6,0)+E6-1&gt;=W$4)</formula>
    </cfRule>
    <cfRule type="expression" dxfId="438" priority="124">
      <formula>AND(NOT(ISBLANK(E6)),NOT(ISBLANK(F6)),E6&lt;=W$4,F6&gt;=W$4)</formula>
    </cfRule>
  </conditionalFormatting>
  <conditionalFormatting sqref="W12:W16">
    <cfRule type="expression" dxfId="437" priority="125">
      <formula>AND(NOT(ISBLANK(E12)),NOT(ISBLANK(F12)),D12&gt;0,E12&lt;=W$4,ROUNDDOWN((F12-E12+1)*D12,0)+E12-1&gt;=W$4)</formula>
    </cfRule>
    <cfRule type="expression" dxfId="436" priority="126">
      <formula>AND(NOT(ISBLANK(E12)),NOT(ISBLANK(F12)),E12&lt;=W$4,F12&gt;=W$4)</formula>
    </cfRule>
  </conditionalFormatting>
  <conditionalFormatting sqref="W18:W22">
    <cfRule type="expression" dxfId="435" priority="128">
      <formula>AND(NOT(ISBLANK(E18)),NOT(ISBLANK(F18)),E18&lt;=W$4,F18&gt;=W$4)</formula>
    </cfRule>
    <cfRule type="expression" dxfId="434" priority="127">
      <formula>AND(NOT(ISBLANK(E18)),NOT(ISBLANK(F18)),D18&gt;0,E18&lt;=W$4,ROUNDDOWN((F18-E18+1)*D18,0)+E18-1&gt;=W$4)</formula>
    </cfRule>
  </conditionalFormatting>
  <conditionalFormatting sqref="W24:W28">
    <cfRule type="expression" dxfId="433" priority="129">
      <formula>AND(NOT(ISBLANK(E24)),NOT(ISBLANK(F24)),D24&gt;0,E24&lt;=W$4,ROUNDDOWN((F24-E24+1)*D24,0)+E24-1&gt;=W$4)</formula>
    </cfRule>
    <cfRule type="expression" dxfId="432" priority="130">
      <formula>AND(NOT(ISBLANK(E24)),NOT(ISBLANK(F24)),E24&lt;=W$4,F24&gt;=W$4)</formula>
    </cfRule>
  </conditionalFormatting>
  <conditionalFormatting sqref="X6:X10">
    <cfRule type="expression" dxfId="431" priority="131">
      <formula>AND(NOT(ISBLANK(E6)),NOT(ISBLANK(F6)),D6&gt;0,E6&lt;=X$4,ROUNDDOWN((F6-E6+1)*D6,0)+E6-1&gt;=X$4)</formula>
    </cfRule>
    <cfRule type="expression" dxfId="430" priority="132">
      <formula>AND(NOT(ISBLANK(E6)),NOT(ISBLANK(F6)),E6&lt;=X$4,F6&gt;=X$4)</formula>
    </cfRule>
  </conditionalFormatting>
  <conditionalFormatting sqref="X12:X16">
    <cfRule type="expression" dxfId="429" priority="133">
      <formula>AND(NOT(ISBLANK(E12)),NOT(ISBLANK(F12)),D12&gt;0,E12&lt;=X$4,ROUNDDOWN((F12-E12+1)*D12,0)+E12-1&gt;=X$4)</formula>
    </cfRule>
    <cfRule type="expression" dxfId="428" priority="134">
      <formula>AND(NOT(ISBLANK(E12)),NOT(ISBLANK(F12)),E12&lt;=X$4,F12&gt;=X$4)</formula>
    </cfRule>
  </conditionalFormatting>
  <conditionalFormatting sqref="X18:X22">
    <cfRule type="expression" dxfId="427" priority="135">
      <formula>AND(NOT(ISBLANK(E18)),NOT(ISBLANK(F18)),D18&gt;0,E18&lt;=X$4,ROUNDDOWN((F18-E18+1)*D18,0)+E18-1&gt;=X$4)</formula>
    </cfRule>
    <cfRule type="expression" dxfId="426" priority="136">
      <formula>AND(NOT(ISBLANK(E18)),NOT(ISBLANK(F18)),E18&lt;=X$4,F18&gt;=X$4)</formula>
    </cfRule>
  </conditionalFormatting>
  <conditionalFormatting sqref="X24:X28">
    <cfRule type="expression" dxfId="425" priority="137">
      <formula>AND(NOT(ISBLANK(E24)),NOT(ISBLANK(F24)),D24&gt;0,E24&lt;=X$4,ROUNDDOWN((F24-E24+1)*D24,0)+E24-1&gt;=X$4)</formula>
    </cfRule>
    <cfRule type="expression" dxfId="424" priority="138">
      <formula>AND(NOT(ISBLANK(E24)),NOT(ISBLANK(F24)),E24&lt;=X$4,F24&gt;=X$4)</formula>
    </cfRule>
  </conditionalFormatting>
  <conditionalFormatting sqref="Y6:Y10">
    <cfRule type="expression" dxfId="423" priority="139">
      <formula>AND(NOT(ISBLANK(E6)),NOT(ISBLANK(F6)),D6&gt;0,E6&lt;=Y$4,ROUNDDOWN((F6-E6+1)*D6,0)+E6-1&gt;=Y$4)</formula>
    </cfRule>
    <cfRule type="expression" dxfId="422" priority="140">
      <formula>AND(NOT(ISBLANK(E6)),NOT(ISBLANK(F6)),E6&lt;=Y$4,F6&gt;=Y$4)</formula>
    </cfRule>
  </conditionalFormatting>
  <conditionalFormatting sqref="Y12:Y16">
    <cfRule type="expression" dxfId="421" priority="141">
      <formula>AND(NOT(ISBLANK(E12)),NOT(ISBLANK(F12)),D12&gt;0,E12&lt;=Y$4,ROUNDDOWN((F12-E12+1)*D12,0)+E12-1&gt;=Y$4)</formula>
    </cfRule>
    <cfRule type="expression" dxfId="420" priority="142">
      <formula>AND(NOT(ISBLANK(E12)),NOT(ISBLANK(F12)),E12&lt;=Y$4,F12&gt;=Y$4)</formula>
    </cfRule>
  </conditionalFormatting>
  <conditionalFormatting sqref="Y18:Y22">
    <cfRule type="expression" dxfId="419" priority="143">
      <formula>AND(NOT(ISBLANK(E18)),NOT(ISBLANK(F18)),D18&gt;0,E18&lt;=Y$4,ROUNDDOWN((F18-E18+1)*D18,0)+E18-1&gt;=Y$4)</formula>
    </cfRule>
    <cfRule type="expression" dxfId="418" priority="144">
      <formula>AND(NOT(ISBLANK(E18)),NOT(ISBLANK(F18)),E18&lt;=Y$4,F18&gt;=Y$4)</formula>
    </cfRule>
  </conditionalFormatting>
  <conditionalFormatting sqref="Y24:Y28">
    <cfRule type="expression" dxfId="417" priority="145">
      <formula>AND(NOT(ISBLANK(E24)),NOT(ISBLANK(F24)),D24&gt;0,E24&lt;=Y$4,ROUNDDOWN((F24-E24+1)*D24,0)+E24-1&gt;=Y$4)</formula>
    </cfRule>
    <cfRule type="expression" dxfId="416" priority="146">
      <formula>AND(NOT(ISBLANK(E24)),NOT(ISBLANK(F24)),E24&lt;=Y$4,F24&gt;=Y$4)</formula>
    </cfRule>
  </conditionalFormatting>
  <conditionalFormatting sqref="Z6:Z10">
    <cfRule type="expression" dxfId="415" priority="148">
      <formula>AND(NOT(ISBLANK(E6)),NOT(ISBLANK(F6)),E6&lt;=Z$4,F6&gt;=Z$4)</formula>
    </cfRule>
    <cfRule type="expression" dxfId="414" priority="147">
      <formula>AND(NOT(ISBLANK(E6)),NOT(ISBLANK(F6)),D6&gt;0,E6&lt;=Z$4,ROUNDDOWN((F6-E6+1)*D6,0)+E6-1&gt;=Z$4)</formula>
    </cfRule>
  </conditionalFormatting>
  <conditionalFormatting sqref="Z12:Z16">
    <cfRule type="expression" dxfId="413" priority="149">
      <formula>AND(NOT(ISBLANK(E12)),NOT(ISBLANK(F12)),D12&gt;0,E12&lt;=Z$4,ROUNDDOWN((F12-E12+1)*D12,0)+E12-1&gt;=Z$4)</formula>
    </cfRule>
    <cfRule type="expression" dxfId="412" priority="150">
      <formula>AND(NOT(ISBLANK(E12)),NOT(ISBLANK(F12)),E12&lt;=Z$4,F12&gt;=Z$4)</formula>
    </cfRule>
  </conditionalFormatting>
  <conditionalFormatting sqref="Z18:Z22">
    <cfRule type="expression" dxfId="411" priority="151">
      <formula>AND(NOT(ISBLANK(E18)),NOT(ISBLANK(F18)),D18&gt;0,E18&lt;=Z$4,ROUNDDOWN((F18-E18+1)*D18,0)+E18-1&gt;=Z$4)</formula>
    </cfRule>
    <cfRule type="expression" dxfId="410" priority="152">
      <formula>AND(NOT(ISBLANK(E18)),NOT(ISBLANK(F18)),E18&lt;=Z$4,F18&gt;=Z$4)</formula>
    </cfRule>
  </conditionalFormatting>
  <conditionalFormatting sqref="Z24:Z28">
    <cfRule type="expression" dxfId="409" priority="153">
      <formula>AND(NOT(ISBLANK(E24)),NOT(ISBLANK(F24)),D24&gt;0,E24&lt;=Z$4,ROUNDDOWN((F24-E24+1)*D24,0)+E24-1&gt;=Z$4)</formula>
    </cfRule>
    <cfRule type="expression" dxfId="408" priority="154">
      <formula>AND(NOT(ISBLANK(E24)),NOT(ISBLANK(F24)),E24&lt;=Z$4,F24&gt;=Z$4)</formula>
    </cfRule>
  </conditionalFormatting>
  <conditionalFormatting sqref="AA6:AA10">
    <cfRule type="expression" dxfId="407" priority="155">
      <formula>AND(NOT(ISBLANK(E6)),NOT(ISBLANK(F6)),D6&gt;0,E6&lt;=AA$4,ROUNDDOWN((F6-E6+1)*D6,0)+E6-1&gt;=AA$4)</formula>
    </cfRule>
    <cfRule type="expression" dxfId="406" priority="156">
      <formula>AND(NOT(ISBLANK(E6)),NOT(ISBLANK(F6)),E6&lt;=AA$4,F6&gt;=AA$4)</formula>
    </cfRule>
  </conditionalFormatting>
  <conditionalFormatting sqref="AA12:AA16">
    <cfRule type="expression" dxfId="405" priority="157">
      <formula>AND(NOT(ISBLANK(E12)),NOT(ISBLANK(F12)),D12&gt;0,E12&lt;=AA$4,ROUNDDOWN((F12-E12+1)*D12,0)+E12-1&gt;=AA$4)</formula>
    </cfRule>
    <cfRule type="expression" dxfId="404" priority="158">
      <formula>AND(NOT(ISBLANK(E12)),NOT(ISBLANK(F12)),E12&lt;=AA$4,F12&gt;=AA$4)</formula>
    </cfRule>
  </conditionalFormatting>
  <conditionalFormatting sqref="AA18:AA22">
    <cfRule type="expression" dxfId="403" priority="159">
      <formula>AND(NOT(ISBLANK(E18)),NOT(ISBLANK(F18)),D18&gt;0,E18&lt;=AA$4,ROUNDDOWN((F18-E18+1)*D18,0)+E18-1&gt;=AA$4)</formula>
    </cfRule>
    <cfRule type="expression" dxfId="402" priority="160">
      <formula>AND(NOT(ISBLANK(E18)),NOT(ISBLANK(F18)),E18&lt;=AA$4,F18&gt;=AA$4)</formula>
    </cfRule>
  </conditionalFormatting>
  <conditionalFormatting sqref="AA24:AA28">
    <cfRule type="expression" dxfId="401" priority="161">
      <formula>AND(NOT(ISBLANK(E24)),NOT(ISBLANK(F24)),D24&gt;0,E24&lt;=AA$4,ROUNDDOWN((F24-E24+1)*D24,0)+E24-1&gt;=AA$4)</formula>
    </cfRule>
    <cfRule type="expression" dxfId="400" priority="162">
      <formula>AND(NOT(ISBLANK(E24)),NOT(ISBLANK(F24)),E24&lt;=AA$4,F24&gt;=AA$4)</formula>
    </cfRule>
  </conditionalFormatting>
  <conditionalFormatting sqref="AB6:AB10">
    <cfRule type="expression" dxfId="399" priority="163">
      <formula>AND(NOT(ISBLANK(E6)),NOT(ISBLANK(F6)),D6&gt;0,E6&lt;=AB$4,ROUNDDOWN((F6-E6+1)*D6,0)+E6-1&gt;=AB$4)</formula>
    </cfRule>
    <cfRule type="expression" dxfId="398" priority="164">
      <formula>AND(NOT(ISBLANK(E6)),NOT(ISBLANK(F6)),E6&lt;=AB$4,F6&gt;=AB$4)</formula>
    </cfRule>
  </conditionalFormatting>
  <conditionalFormatting sqref="AB12:AB16">
    <cfRule type="expression" dxfId="397" priority="166">
      <formula>AND(NOT(ISBLANK(E12)),NOT(ISBLANK(F12)),E12&lt;=AB$4,F12&gt;=AB$4)</formula>
    </cfRule>
    <cfRule type="expression" dxfId="396" priority="165">
      <formula>AND(NOT(ISBLANK(E12)),NOT(ISBLANK(F12)),D12&gt;0,E12&lt;=AB$4,ROUNDDOWN((F12-E12+1)*D12,0)+E12-1&gt;=AB$4)</formula>
    </cfRule>
  </conditionalFormatting>
  <conditionalFormatting sqref="AB18:AB22">
    <cfRule type="expression" dxfId="395" priority="167">
      <formula>AND(NOT(ISBLANK(E18)),NOT(ISBLANK(F18)),D18&gt;0,E18&lt;=AB$4,ROUNDDOWN((F18-E18+1)*D18,0)+E18-1&gt;=AB$4)</formula>
    </cfRule>
    <cfRule type="expression" dxfId="394" priority="168">
      <formula>AND(NOT(ISBLANK(E18)),NOT(ISBLANK(F18)),E18&lt;=AB$4,F18&gt;=AB$4)</formula>
    </cfRule>
  </conditionalFormatting>
  <conditionalFormatting sqref="AB24:AB28">
    <cfRule type="expression" dxfId="393" priority="169">
      <formula>AND(NOT(ISBLANK(E24)),NOT(ISBLANK(F24)),D24&gt;0,E24&lt;=AB$4,ROUNDDOWN((F24-E24+1)*D24,0)+E24-1&gt;=AB$4)</formula>
    </cfRule>
    <cfRule type="expression" dxfId="392" priority="170">
      <formula>AND(NOT(ISBLANK(E24)),NOT(ISBLANK(F24)),E24&lt;=AB$4,F24&gt;=AB$4)</formula>
    </cfRule>
  </conditionalFormatting>
  <conditionalFormatting sqref="AC6:AC10">
    <cfRule type="expression" dxfId="391" priority="171">
      <formula>AND(NOT(ISBLANK(E6)),NOT(ISBLANK(F6)),D6&gt;0,E6&lt;=AC$4,ROUNDDOWN((F6-E6+1)*D6,0)+E6-1&gt;=AC$4)</formula>
    </cfRule>
    <cfRule type="expression" dxfId="390" priority="172">
      <formula>AND(NOT(ISBLANK(E6)),NOT(ISBLANK(F6)),E6&lt;=AC$4,F6&gt;=AC$4)</formula>
    </cfRule>
  </conditionalFormatting>
  <conditionalFormatting sqref="AC12:AC16">
    <cfRule type="expression" dxfId="389" priority="173">
      <formula>AND(NOT(ISBLANK(E12)),NOT(ISBLANK(F12)),D12&gt;0,E12&lt;=AC$4,ROUNDDOWN((F12-E12+1)*D12,0)+E12-1&gt;=AC$4)</formula>
    </cfRule>
    <cfRule type="expression" dxfId="388" priority="174">
      <formula>AND(NOT(ISBLANK(E12)),NOT(ISBLANK(F12)),E12&lt;=AC$4,F12&gt;=AC$4)</formula>
    </cfRule>
  </conditionalFormatting>
  <conditionalFormatting sqref="AC18:AC22">
    <cfRule type="expression" dxfId="387" priority="175">
      <formula>AND(NOT(ISBLANK(E18)),NOT(ISBLANK(F18)),D18&gt;0,E18&lt;=AC$4,ROUNDDOWN((F18-E18+1)*D18,0)+E18-1&gt;=AC$4)</formula>
    </cfRule>
    <cfRule type="expression" dxfId="386" priority="176">
      <formula>AND(NOT(ISBLANK(E18)),NOT(ISBLANK(F18)),E18&lt;=AC$4,F18&gt;=AC$4)</formula>
    </cfRule>
  </conditionalFormatting>
  <conditionalFormatting sqref="AC24:AC28">
    <cfRule type="expression" dxfId="385" priority="177">
      <formula>AND(NOT(ISBLANK(E24)),NOT(ISBLANK(F24)),D24&gt;0,E24&lt;=AC$4,ROUNDDOWN((F24-E24+1)*D24,0)+E24-1&gt;=AC$4)</formula>
    </cfRule>
    <cfRule type="expression" dxfId="384" priority="178">
      <formula>AND(NOT(ISBLANK(E24)),NOT(ISBLANK(F24)),E24&lt;=AC$4,F24&gt;=AC$4)</formula>
    </cfRule>
  </conditionalFormatting>
  <conditionalFormatting sqref="AD6:AD10">
    <cfRule type="expression" dxfId="383" priority="179">
      <formula>AND(NOT(ISBLANK(E6)),NOT(ISBLANK(F6)),D6&gt;0,E6&lt;=AD$4,ROUNDDOWN((F6-E6+1)*D6,0)+E6-1&gt;=AD$4)</formula>
    </cfRule>
    <cfRule type="expression" dxfId="382" priority="180">
      <formula>AND(NOT(ISBLANK(E6)),NOT(ISBLANK(F6)),E6&lt;=AD$4,F6&gt;=AD$4)</formula>
    </cfRule>
  </conditionalFormatting>
  <conditionalFormatting sqref="AD12:AD16">
    <cfRule type="expression" dxfId="381" priority="181">
      <formula>AND(NOT(ISBLANK(E12)),NOT(ISBLANK(F12)),D12&gt;0,E12&lt;=AD$4,ROUNDDOWN((F12-E12+1)*D12,0)+E12-1&gt;=AD$4)</formula>
    </cfRule>
    <cfRule type="expression" dxfId="380" priority="182">
      <formula>AND(NOT(ISBLANK(E12)),NOT(ISBLANK(F12)),E12&lt;=AD$4,F12&gt;=AD$4)</formula>
    </cfRule>
  </conditionalFormatting>
  <conditionalFormatting sqref="AD18:AD22">
    <cfRule type="expression" dxfId="379" priority="183">
      <formula>AND(NOT(ISBLANK(E18)),NOT(ISBLANK(F18)),D18&gt;0,E18&lt;=AD$4,ROUNDDOWN((F18-E18+1)*D18,0)+E18-1&gt;=AD$4)</formula>
    </cfRule>
    <cfRule type="expression" dxfId="378" priority="184">
      <formula>AND(NOT(ISBLANK(E18)),NOT(ISBLANK(F18)),E18&lt;=AD$4,F18&gt;=AD$4)</formula>
    </cfRule>
  </conditionalFormatting>
  <conditionalFormatting sqref="AD24:AD28">
    <cfRule type="expression" dxfId="377" priority="185">
      <formula>AND(NOT(ISBLANK(E24)),NOT(ISBLANK(F24)),D24&gt;0,E24&lt;=AD$4,ROUNDDOWN((F24-E24+1)*D24,0)+E24-1&gt;=AD$4)</formula>
    </cfRule>
    <cfRule type="expression" dxfId="376" priority="186">
      <formula>AND(NOT(ISBLANK(E24)),NOT(ISBLANK(F24)),E24&lt;=AD$4,F24&gt;=AD$4)</formula>
    </cfRule>
  </conditionalFormatting>
  <conditionalFormatting sqref="AE6:AE10">
    <cfRule type="expression" dxfId="375" priority="187">
      <formula>AND(NOT(ISBLANK(E6)),NOT(ISBLANK(F6)),D6&gt;0,E6&lt;=AE$4,ROUNDDOWN((F6-E6+1)*D6,0)+E6-1&gt;=AE$4)</formula>
    </cfRule>
    <cfRule type="expression" dxfId="374" priority="188">
      <formula>AND(NOT(ISBLANK(E6)),NOT(ISBLANK(F6)),E6&lt;=AE$4,F6&gt;=AE$4)</formula>
    </cfRule>
  </conditionalFormatting>
  <conditionalFormatting sqref="AE12:AE16">
    <cfRule type="expression" dxfId="373" priority="189">
      <formula>AND(NOT(ISBLANK(E12)),NOT(ISBLANK(F12)),D12&gt;0,E12&lt;=AE$4,ROUNDDOWN((F12-E12+1)*D12,0)+E12-1&gt;=AE$4)</formula>
    </cfRule>
    <cfRule type="expression" dxfId="372" priority="190">
      <formula>AND(NOT(ISBLANK(E12)),NOT(ISBLANK(F12)),E12&lt;=AE$4,F12&gt;=AE$4)</formula>
    </cfRule>
  </conditionalFormatting>
  <conditionalFormatting sqref="AE18:AE22">
    <cfRule type="expression" dxfId="371" priority="191">
      <formula>AND(NOT(ISBLANK(E18)),NOT(ISBLANK(F18)),D18&gt;0,E18&lt;=AE$4,ROUNDDOWN((F18-E18+1)*D18,0)+E18-1&gt;=AE$4)</formula>
    </cfRule>
    <cfRule type="expression" dxfId="370" priority="192">
      <formula>AND(NOT(ISBLANK(E18)),NOT(ISBLANK(F18)),E18&lt;=AE$4,F18&gt;=AE$4)</formula>
    </cfRule>
  </conditionalFormatting>
  <conditionalFormatting sqref="AE24:AE28">
    <cfRule type="expression" dxfId="369" priority="193">
      <formula>AND(NOT(ISBLANK(E24)),NOT(ISBLANK(F24)),D24&gt;0,E24&lt;=AE$4,ROUNDDOWN((F24-E24+1)*D24,0)+E24-1&gt;=AE$4)</formula>
    </cfRule>
    <cfRule type="expression" dxfId="368" priority="194">
      <formula>AND(NOT(ISBLANK(E24)),NOT(ISBLANK(F24)),E24&lt;=AE$4,F24&gt;=AE$4)</formula>
    </cfRule>
  </conditionalFormatting>
  <conditionalFormatting sqref="AF6:AF10">
    <cfRule type="expression" dxfId="367" priority="195">
      <formula>AND(NOT(ISBLANK(E6)),NOT(ISBLANK(F6)),D6&gt;0,E6&lt;=AF$4,ROUNDDOWN((F6-E6+1)*D6,0)+E6-1&gt;=AF$4)</formula>
    </cfRule>
    <cfRule type="expression" dxfId="366" priority="196">
      <formula>AND(NOT(ISBLANK(E6)),NOT(ISBLANK(F6)),E6&lt;=AF$4,F6&gt;=AF$4)</formula>
    </cfRule>
  </conditionalFormatting>
  <conditionalFormatting sqref="AF12:AF16">
    <cfRule type="expression" dxfId="365" priority="197">
      <formula>AND(NOT(ISBLANK(E12)),NOT(ISBLANK(F12)),D12&gt;0,E12&lt;=AF$4,ROUNDDOWN((F12-E12+1)*D12,0)+E12-1&gt;=AF$4)</formula>
    </cfRule>
    <cfRule type="expression" dxfId="364" priority="198">
      <formula>AND(NOT(ISBLANK(E12)),NOT(ISBLANK(F12)),E12&lt;=AF$4,F12&gt;=AF$4)</formula>
    </cfRule>
  </conditionalFormatting>
  <conditionalFormatting sqref="AF18:AF22">
    <cfRule type="expression" dxfId="363" priority="199">
      <formula>AND(NOT(ISBLANK(E18)),NOT(ISBLANK(F18)),D18&gt;0,E18&lt;=AF$4,ROUNDDOWN((F18-E18+1)*D18,0)+E18-1&gt;=AF$4)</formula>
    </cfRule>
    <cfRule type="expression" dxfId="362" priority="200">
      <formula>AND(NOT(ISBLANK(E18)),NOT(ISBLANK(F18)),E18&lt;=AF$4,F18&gt;=AF$4)</formula>
    </cfRule>
  </conditionalFormatting>
  <conditionalFormatting sqref="AF24:AF28">
    <cfRule type="expression" dxfId="361" priority="201">
      <formula>AND(NOT(ISBLANK(E24)),NOT(ISBLANK(F24)),D24&gt;0,E24&lt;=AF$4,ROUNDDOWN((F24-E24+1)*D24,0)+E24-1&gt;=AF$4)</formula>
    </cfRule>
    <cfRule type="expression" dxfId="360" priority="202">
      <formula>AND(NOT(ISBLANK(E24)),NOT(ISBLANK(F24)),E24&lt;=AF$4,F24&gt;=AF$4)</formula>
    </cfRule>
  </conditionalFormatting>
  <conditionalFormatting sqref="AG6:AG10">
    <cfRule type="expression" dxfId="359" priority="203">
      <formula>AND(NOT(ISBLANK(E6)),NOT(ISBLANK(F6)),D6&gt;0,E6&lt;=AG$4,ROUNDDOWN((F6-E6+1)*D6,0)+E6-1&gt;=AG$4)</formula>
    </cfRule>
    <cfRule type="expression" dxfId="358" priority="204">
      <formula>AND(NOT(ISBLANK(E6)),NOT(ISBLANK(F6)),E6&lt;=AG$4,F6&gt;=AG$4)</formula>
    </cfRule>
  </conditionalFormatting>
  <conditionalFormatting sqref="AG12:AG16">
    <cfRule type="expression" dxfId="357" priority="205">
      <formula>AND(NOT(ISBLANK(E12)),NOT(ISBLANK(F12)),D12&gt;0,E12&lt;=AG$4,ROUNDDOWN((F12-E12+1)*D12,0)+E12-1&gt;=AG$4)</formula>
    </cfRule>
    <cfRule type="expression" dxfId="356" priority="206">
      <formula>AND(NOT(ISBLANK(E12)),NOT(ISBLANK(F12)),E12&lt;=AG$4,F12&gt;=AG$4)</formula>
    </cfRule>
  </conditionalFormatting>
  <conditionalFormatting sqref="AG18:AG22">
    <cfRule type="expression" dxfId="355" priority="207">
      <formula>AND(NOT(ISBLANK(E18)),NOT(ISBLANK(F18)),D18&gt;0,E18&lt;=AG$4,ROUNDDOWN((F18-E18+1)*D18,0)+E18-1&gt;=AG$4)</formula>
    </cfRule>
    <cfRule type="expression" dxfId="354" priority="208">
      <formula>AND(NOT(ISBLANK(E18)),NOT(ISBLANK(F18)),E18&lt;=AG$4,F18&gt;=AG$4)</formula>
    </cfRule>
  </conditionalFormatting>
  <conditionalFormatting sqref="AG24:AG28">
    <cfRule type="expression" dxfId="353" priority="209">
      <formula>AND(NOT(ISBLANK(E24)),NOT(ISBLANK(F24)),D24&gt;0,E24&lt;=AG$4,ROUNDDOWN((F24-E24+1)*D24,0)+E24-1&gt;=AG$4)</formula>
    </cfRule>
    <cfRule type="expression" dxfId="352" priority="210">
      <formula>AND(NOT(ISBLANK(E24)),NOT(ISBLANK(F24)),E24&lt;=AG$4,F24&gt;=AG$4)</formula>
    </cfRule>
  </conditionalFormatting>
  <conditionalFormatting sqref="AH6:AH10">
    <cfRule type="expression" dxfId="351" priority="211">
      <formula>AND(NOT(ISBLANK(E6)),NOT(ISBLANK(F6)),D6&gt;0,E6&lt;=AH$4,ROUNDDOWN((F6-E6+1)*D6,0)+E6-1&gt;=AH$4)</formula>
    </cfRule>
    <cfRule type="expression" dxfId="350" priority="212">
      <formula>AND(NOT(ISBLANK(E6)),NOT(ISBLANK(F6)),E6&lt;=AH$4,F6&gt;=AH$4)</formula>
    </cfRule>
  </conditionalFormatting>
  <conditionalFormatting sqref="AH12:AH16">
    <cfRule type="expression" dxfId="349" priority="213">
      <formula>AND(NOT(ISBLANK(E12)),NOT(ISBLANK(F12)),D12&gt;0,E12&lt;=AH$4,ROUNDDOWN((F12-E12+1)*D12,0)+E12-1&gt;=AH$4)</formula>
    </cfRule>
    <cfRule type="expression" dxfId="348" priority="214">
      <formula>AND(NOT(ISBLANK(E12)),NOT(ISBLANK(F12)),E12&lt;=AH$4,F12&gt;=AH$4)</formula>
    </cfRule>
  </conditionalFormatting>
  <conditionalFormatting sqref="AH18:AH22">
    <cfRule type="expression" dxfId="347" priority="215">
      <formula>AND(NOT(ISBLANK(E18)),NOT(ISBLANK(F18)),D18&gt;0,E18&lt;=AH$4,ROUNDDOWN((F18-E18+1)*D18,0)+E18-1&gt;=AH$4)</formula>
    </cfRule>
    <cfRule type="expression" dxfId="346" priority="216">
      <formula>AND(NOT(ISBLANK(E18)),NOT(ISBLANK(F18)),E18&lt;=AH$4,F18&gt;=AH$4)</formula>
    </cfRule>
  </conditionalFormatting>
  <conditionalFormatting sqref="AH24:AH28">
    <cfRule type="expression" dxfId="345" priority="218">
      <formula>AND(NOT(ISBLANK(E24)),NOT(ISBLANK(F24)),E24&lt;=AH$4,F24&gt;=AH$4)</formula>
    </cfRule>
    <cfRule type="expression" dxfId="344" priority="217">
      <formula>AND(NOT(ISBLANK(E24)),NOT(ISBLANK(F24)),D24&gt;0,E24&lt;=AH$4,ROUNDDOWN((F24-E24+1)*D24,0)+E24-1&gt;=AH$4)</formula>
    </cfRule>
  </conditionalFormatting>
  <conditionalFormatting sqref="AI6:AI10">
    <cfRule type="expression" dxfId="343" priority="220">
      <formula>AND(NOT(ISBLANK(E6)),NOT(ISBLANK(F6)),E6&lt;=AI$4,F6&gt;=AI$4)</formula>
    </cfRule>
    <cfRule type="expression" dxfId="342" priority="219">
      <formula>AND(NOT(ISBLANK(E6)),NOT(ISBLANK(F6)),D6&gt;0,E6&lt;=AI$4,ROUNDDOWN((F6-E6+1)*D6,0)+E6-1&gt;=AI$4)</formula>
    </cfRule>
  </conditionalFormatting>
  <conditionalFormatting sqref="AI12:AI16">
    <cfRule type="expression" dxfId="341" priority="221">
      <formula>AND(NOT(ISBLANK(E12)),NOT(ISBLANK(F12)),D12&gt;0,E12&lt;=AI$4,ROUNDDOWN((F12-E12+1)*D12,0)+E12-1&gt;=AI$4)</formula>
    </cfRule>
    <cfRule type="expression" dxfId="340" priority="222">
      <formula>AND(NOT(ISBLANK(E12)),NOT(ISBLANK(F12)),E12&lt;=AI$4,F12&gt;=AI$4)</formula>
    </cfRule>
  </conditionalFormatting>
  <conditionalFormatting sqref="AI18:AI22">
    <cfRule type="expression" dxfId="339" priority="223">
      <formula>AND(NOT(ISBLANK(E18)),NOT(ISBLANK(F18)),D18&gt;0,E18&lt;=AI$4,ROUNDDOWN((F18-E18+1)*D18,0)+E18-1&gt;=AI$4)</formula>
    </cfRule>
    <cfRule type="expression" dxfId="338" priority="224">
      <formula>AND(NOT(ISBLANK(E18)),NOT(ISBLANK(F18)),E18&lt;=AI$4,F18&gt;=AI$4)</formula>
    </cfRule>
  </conditionalFormatting>
  <conditionalFormatting sqref="AI24:AI28">
    <cfRule type="expression" dxfId="337" priority="225">
      <formula>AND(NOT(ISBLANK(E24)),NOT(ISBLANK(F24)),D24&gt;0,E24&lt;=AI$4,ROUNDDOWN((F24-E24+1)*D24,0)+E24-1&gt;=AI$4)</formula>
    </cfRule>
    <cfRule type="expression" dxfId="336" priority="226">
      <formula>AND(NOT(ISBLANK(E24)),NOT(ISBLANK(F24)),E24&lt;=AI$4,F24&gt;=AI$4)</formula>
    </cfRule>
  </conditionalFormatting>
  <conditionalFormatting sqref="AJ6:AJ10">
    <cfRule type="expression" dxfId="335" priority="227">
      <formula>AND(NOT(ISBLANK(E6)),NOT(ISBLANK(F6)),D6&gt;0,E6&lt;=AJ$4,ROUNDDOWN((F6-E6+1)*D6,0)+E6-1&gt;=AJ$4)</formula>
    </cfRule>
    <cfRule type="expression" dxfId="334" priority="228">
      <formula>AND(NOT(ISBLANK(E6)),NOT(ISBLANK(F6)),E6&lt;=AJ$4,F6&gt;=AJ$4)</formula>
    </cfRule>
  </conditionalFormatting>
  <conditionalFormatting sqref="AJ12:AJ16">
    <cfRule type="expression" dxfId="333" priority="229">
      <formula>AND(NOT(ISBLANK(E12)),NOT(ISBLANK(F12)),D12&gt;0,E12&lt;=AJ$4,ROUNDDOWN((F12-E12+1)*D12,0)+E12-1&gt;=AJ$4)</formula>
    </cfRule>
    <cfRule type="expression" dxfId="332" priority="230">
      <formula>AND(NOT(ISBLANK(E12)),NOT(ISBLANK(F12)),E12&lt;=AJ$4,F12&gt;=AJ$4)</formula>
    </cfRule>
  </conditionalFormatting>
  <conditionalFormatting sqref="AJ18:AJ22">
    <cfRule type="expression" dxfId="331" priority="231">
      <formula>AND(NOT(ISBLANK(E18)),NOT(ISBLANK(F18)),D18&gt;0,E18&lt;=AJ$4,ROUNDDOWN((F18-E18+1)*D18,0)+E18-1&gt;=AJ$4)</formula>
    </cfRule>
    <cfRule type="expression" dxfId="330" priority="232">
      <formula>AND(NOT(ISBLANK(E18)),NOT(ISBLANK(F18)),E18&lt;=AJ$4,F18&gt;=AJ$4)</formula>
    </cfRule>
  </conditionalFormatting>
  <conditionalFormatting sqref="AJ24:AJ28">
    <cfRule type="expression" dxfId="329" priority="233">
      <formula>AND(NOT(ISBLANK(E24)),NOT(ISBLANK(F24)),D24&gt;0,E24&lt;=AJ$4,ROUNDDOWN((F24-E24+1)*D24,0)+E24-1&gt;=AJ$4)</formula>
    </cfRule>
    <cfRule type="expression" dxfId="328" priority="234">
      <formula>AND(NOT(ISBLANK(E24)),NOT(ISBLANK(F24)),E24&lt;=AJ$4,F24&gt;=AJ$4)</formula>
    </cfRule>
  </conditionalFormatting>
  <conditionalFormatting sqref="AK6:AK10">
    <cfRule type="expression" dxfId="327" priority="235">
      <formula>AND(NOT(ISBLANK(E6)),NOT(ISBLANK(F6)),D6&gt;0,E6&lt;=AK$4,ROUNDDOWN((F6-E6+1)*D6,0)+E6-1&gt;=AK$4)</formula>
    </cfRule>
    <cfRule type="expression" dxfId="326" priority="236">
      <formula>AND(NOT(ISBLANK(E6)),NOT(ISBLANK(F6)),E6&lt;=AK$4,F6&gt;=AK$4)</formula>
    </cfRule>
  </conditionalFormatting>
  <conditionalFormatting sqref="AK12:AK16">
    <cfRule type="expression" dxfId="325" priority="237">
      <formula>AND(NOT(ISBLANK(E12)),NOT(ISBLANK(F12)),D12&gt;0,E12&lt;=AK$4,ROUNDDOWN((F12-E12+1)*D12,0)+E12-1&gt;=AK$4)</formula>
    </cfRule>
    <cfRule type="expression" dxfId="324" priority="238">
      <formula>AND(NOT(ISBLANK(E12)),NOT(ISBLANK(F12)),E12&lt;=AK$4,F12&gt;=AK$4)</formula>
    </cfRule>
  </conditionalFormatting>
  <conditionalFormatting sqref="AK18:AK22">
    <cfRule type="expression" dxfId="323" priority="239">
      <formula>AND(NOT(ISBLANK(E18)),NOT(ISBLANK(F18)),D18&gt;0,E18&lt;=AK$4,ROUNDDOWN((F18-E18+1)*D18,0)+E18-1&gt;=AK$4)</formula>
    </cfRule>
    <cfRule type="expression" dxfId="322" priority="240">
      <formula>AND(NOT(ISBLANK(E18)),NOT(ISBLANK(F18)),E18&lt;=AK$4,F18&gt;=AK$4)</formula>
    </cfRule>
  </conditionalFormatting>
  <conditionalFormatting sqref="AK24:AK28">
    <cfRule type="expression" dxfId="321" priority="241">
      <formula>AND(NOT(ISBLANK(E24)),NOT(ISBLANK(F24)),D24&gt;0,E24&lt;=AK$4,ROUNDDOWN((F24-E24+1)*D24,0)+E24-1&gt;=AK$4)</formula>
    </cfRule>
    <cfRule type="expression" dxfId="320" priority="242">
      <formula>AND(NOT(ISBLANK(E24)),NOT(ISBLANK(F24)),E24&lt;=AK$4,F24&gt;=AK$4)</formula>
    </cfRule>
  </conditionalFormatting>
  <conditionalFormatting sqref="AL6:AL10">
    <cfRule type="expression" dxfId="319" priority="243">
      <formula>AND(NOT(ISBLANK(E6)),NOT(ISBLANK(F6)),D6&gt;0,E6&lt;=AL$4,ROUNDDOWN((F6-E6+1)*D6,0)+E6-1&gt;=AL$4)</formula>
    </cfRule>
    <cfRule type="expression" dxfId="318" priority="244">
      <formula>AND(NOT(ISBLANK(E6)),NOT(ISBLANK(F6)),E6&lt;=AL$4,F6&gt;=AL$4)</formula>
    </cfRule>
  </conditionalFormatting>
  <conditionalFormatting sqref="AL12:AL16">
    <cfRule type="expression" dxfId="317" priority="245">
      <formula>AND(NOT(ISBLANK(E12)),NOT(ISBLANK(F12)),D12&gt;0,E12&lt;=AL$4,ROUNDDOWN((F12-E12+1)*D12,0)+E12-1&gt;=AL$4)</formula>
    </cfRule>
    <cfRule type="expression" dxfId="316" priority="246">
      <formula>AND(NOT(ISBLANK(E12)),NOT(ISBLANK(F12)),E12&lt;=AL$4,F12&gt;=AL$4)</formula>
    </cfRule>
  </conditionalFormatting>
  <conditionalFormatting sqref="AL18:AL22">
    <cfRule type="expression" dxfId="315" priority="247">
      <formula>AND(NOT(ISBLANK(E18)),NOT(ISBLANK(F18)),D18&gt;0,E18&lt;=AL$4,ROUNDDOWN((F18-E18+1)*D18,0)+E18-1&gt;=AL$4)</formula>
    </cfRule>
    <cfRule type="expression" dxfId="314" priority="248">
      <formula>AND(NOT(ISBLANK(E18)),NOT(ISBLANK(F18)),E18&lt;=AL$4,F18&gt;=AL$4)</formula>
    </cfRule>
  </conditionalFormatting>
  <conditionalFormatting sqref="AL24:AL28">
    <cfRule type="expression" dxfId="313" priority="250">
      <formula>AND(NOT(ISBLANK(E24)),NOT(ISBLANK(F24)),E24&lt;=AL$4,F24&gt;=AL$4)</formula>
    </cfRule>
    <cfRule type="expression" dxfId="312" priority="249">
      <formula>AND(NOT(ISBLANK(E24)),NOT(ISBLANK(F24)),D24&gt;0,E24&lt;=AL$4,ROUNDDOWN((F24-E24+1)*D24,0)+E24-1&gt;=AL$4)</formula>
    </cfRule>
  </conditionalFormatting>
  <conditionalFormatting sqref="AM6:AM10">
    <cfRule type="expression" dxfId="311" priority="251">
      <formula>AND(NOT(ISBLANK(E6)),NOT(ISBLANK(F6)),D6&gt;0,E6&lt;=AM$4,ROUNDDOWN((F6-E6+1)*D6,0)+E6-1&gt;=AM$4)</formula>
    </cfRule>
    <cfRule type="expression" dxfId="310" priority="252">
      <formula>AND(NOT(ISBLANK(E6)),NOT(ISBLANK(F6)),E6&lt;=AM$4,F6&gt;=AM$4)</formula>
    </cfRule>
  </conditionalFormatting>
  <conditionalFormatting sqref="AM12:AM16">
    <cfRule type="expression" dxfId="309" priority="253">
      <formula>AND(NOT(ISBLANK(E12)),NOT(ISBLANK(F12)),D12&gt;0,E12&lt;=AM$4,ROUNDDOWN((F12-E12+1)*D12,0)+E12-1&gt;=AM$4)</formula>
    </cfRule>
    <cfRule type="expression" dxfId="308" priority="254">
      <formula>AND(NOT(ISBLANK(E12)),NOT(ISBLANK(F12)),E12&lt;=AM$4,F12&gt;=AM$4)</formula>
    </cfRule>
  </conditionalFormatting>
  <conditionalFormatting sqref="AM18:AM22">
    <cfRule type="expression" dxfId="307" priority="255">
      <formula>AND(NOT(ISBLANK(E18)),NOT(ISBLANK(F18)),D18&gt;0,E18&lt;=AM$4,ROUNDDOWN((F18-E18+1)*D18,0)+E18-1&gt;=AM$4)</formula>
    </cfRule>
    <cfRule type="expression" dxfId="306" priority="256">
      <formula>AND(NOT(ISBLANK(E18)),NOT(ISBLANK(F18)),E18&lt;=AM$4,F18&gt;=AM$4)</formula>
    </cfRule>
  </conditionalFormatting>
  <conditionalFormatting sqref="AM24:AM28">
    <cfRule type="expression" dxfId="305" priority="257">
      <formula>AND(NOT(ISBLANK(E24)),NOT(ISBLANK(F24)),D24&gt;0,E24&lt;=AM$4,ROUNDDOWN((F24-E24+1)*D24,0)+E24-1&gt;=AM$4)</formula>
    </cfRule>
    <cfRule type="expression" dxfId="304" priority="258">
      <formula>AND(NOT(ISBLANK(E24)),NOT(ISBLANK(F24)),E24&lt;=AM$4,F24&gt;=AM$4)</formula>
    </cfRule>
  </conditionalFormatting>
  <conditionalFormatting sqref="AN6:AN10">
    <cfRule type="expression" dxfId="303" priority="259">
      <formula>AND(NOT(ISBLANK(E6)),NOT(ISBLANK(F6)),D6&gt;0,E6&lt;=AN$4,ROUNDDOWN((F6-E6+1)*D6,0)+E6-1&gt;=AN$4)</formula>
    </cfRule>
    <cfRule type="expression" dxfId="302" priority="260">
      <formula>AND(NOT(ISBLANK(E6)),NOT(ISBLANK(F6)),E6&lt;=AN$4,F6&gt;=AN$4)</formula>
    </cfRule>
  </conditionalFormatting>
  <conditionalFormatting sqref="AN12:AN16">
    <cfRule type="expression" dxfId="301" priority="261">
      <formula>AND(NOT(ISBLANK(E12)),NOT(ISBLANK(F12)),D12&gt;0,E12&lt;=AN$4,ROUNDDOWN((F12-E12+1)*D12,0)+E12-1&gt;=AN$4)</formula>
    </cfRule>
    <cfRule type="expression" dxfId="300" priority="262">
      <formula>AND(NOT(ISBLANK(E12)),NOT(ISBLANK(F12)),E12&lt;=AN$4,F12&gt;=AN$4)</formula>
    </cfRule>
  </conditionalFormatting>
  <conditionalFormatting sqref="AN18:AN22">
    <cfRule type="expression" dxfId="299" priority="263">
      <formula>AND(NOT(ISBLANK(E18)),NOT(ISBLANK(F18)),D18&gt;0,E18&lt;=AN$4,ROUNDDOWN((F18-E18+1)*D18,0)+E18-1&gt;=AN$4)</formula>
    </cfRule>
    <cfRule type="expression" dxfId="298" priority="264">
      <formula>AND(NOT(ISBLANK(E18)),NOT(ISBLANK(F18)),E18&lt;=AN$4,F18&gt;=AN$4)</formula>
    </cfRule>
  </conditionalFormatting>
  <conditionalFormatting sqref="AN24:AN28">
    <cfRule type="expression" dxfId="297" priority="265">
      <formula>AND(NOT(ISBLANK(E24)),NOT(ISBLANK(F24)),D24&gt;0,E24&lt;=AN$4,ROUNDDOWN((F24-E24+1)*D24,0)+E24-1&gt;=AN$4)</formula>
    </cfRule>
    <cfRule type="expression" dxfId="296" priority="266">
      <formula>AND(NOT(ISBLANK(E24)),NOT(ISBLANK(F24)),E24&lt;=AN$4,F24&gt;=AN$4)</formula>
    </cfRule>
  </conditionalFormatting>
  <conditionalFormatting sqref="AO6:AO10">
    <cfRule type="expression" dxfId="295" priority="268">
      <formula>AND(NOT(ISBLANK(E6)),NOT(ISBLANK(F6)),E6&lt;=AO$4,F6&gt;=AO$4)</formula>
    </cfRule>
    <cfRule type="expression" dxfId="294" priority="267">
      <formula>AND(NOT(ISBLANK(E6)),NOT(ISBLANK(F6)),D6&gt;0,E6&lt;=AO$4,ROUNDDOWN((F6-E6+1)*D6,0)+E6-1&gt;=AO$4)</formula>
    </cfRule>
  </conditionalFormatting>
  <conditionalFormatting sqref="AO12:AO16">
    <cfRule type="expression" dxfId="293" priority="269">
      <formula>AND(NOT(ISBLANK(E12)),NOT(ISBLANK(F12)),D12&gt;0,E12&lt;=AO$4,ROUNDDOWN((F12-E12+1)*D12,0)+E12-1&gt;=AO$4)</formula>
    </cfRule>
    <cfRule type="expression" dxfId="292" priority="270">
      <formula>AND(NOT(ISBLANK(E12)),NOT(ISBLANK(F12)),E12&lt;=AO$4,F12&gt;=AO$4)</formula>
    </cfRule>
  </conditionalFormatting>
  <conditionalFormatting sqref="AO18:AO22">
    <cfRule type="expression" dxfId="291" priority="271">
      <formula>AND(NOT(ISBLANK(E18)),NOT(ISBLANK(F18)),D18&gt;0,E18&lt;=AO$4,ROUNDDOWN((F18-E18+1)*D18,0)+E18-1&gt;=AO$4)</formula>
    </cfRule>
    <cfRule type="expression" dxfId="290" priority="272">
      <formula>AND(NOT(ISBLANK(E18)),NOT(ISBLANK(F18)),E18&lt;=AO$4,F18&gt;=AO$4)</formula>
    </cfRule>
  </conditionalFormatting>
  <conditionalFormatting sqref="AO24:AO28">
    <cfRule type="expression" dxfId="289" priority="273">
      <formula>AND(NOT(ISBLANK(E24)),NOT(ISBLANK(F24)),D24&gt;0,E24&lt;=AO$4,ROUNDDOWN((F24-E24+1)*D24,0)+E24-1&gt;=AO$4)</formula>
    </cfRule>
    <cfRule type="expression" dxfId="288" priority="274">
      <formula>AND(NOT(ISBLANK(E24)),NOT(ISBLANK(F24)),E24&lt;=AO$4,F24&gt;=AO$4)</formula>
    </cfRule>
  </conditionalFormatting>
  <conditionalFormatting sqref="AP6:AP10">
    <cfRule type="expression" dxfId="287" priority="275">
      <formula>AND(NOT(ISBLANK(E6)),NOT(ISBLANK(F6)),D6&gt;0,E6&lt;=AP$4,ROUNDDOWN((F6-E6+1)*D6,0)+E6-1&gt;=AP$4)</formula>
    </cfRule>
    <cfRule type="expression" dxfId="286" priority="276">
      <formula>AND(NOT(ISBLANK(E6)),NOT(ISBLANK(F6)),E6&lt;=AP$4,F6&gt;=AP$4)</formula>
    </cfRule>
  </conditionalFormatting>
  <conditionalFormatting sqref="AP12:AP16">
    <cfRule type="expression" dxfId="285" priority="277">
      <formula>AND(NOT(ISBLANK(E12)),NOT(ISBLANK(F12)),D12&gt;0,E12&lt;=AP$4,ROUNDDOWN((F12-E12+1)*D12,0)+E12-1&gt;=AP$4)</formula>
    </cfRule>
    <cfRule type="expression" dxfId="284" priority="278">
      <formula>AND(NOT(ISBLANK(E12)),NOT(ISBLANK(F12)),E12&lt;=AP$4,F12&gt;=AP$4)</formula>
    </cfRule>
  </conditionalFormatting>
  <conditionalFormatting sqref="AP18:AP22">
    <cfRule type="expression" dxfId="283" priority="279">
      <formula>AND(NOT(ISBLANK(E18)),NOT(ISBLANK(F18)),D18&gt;0,E18&lt;=AP$4,ROUNDDOWN((F18-E18+1)*D18,0)+E18-1&gt;=AP$4)</formula>
    </cfRule>
    <cfRule type="expression" dxfId="282" priority="280">
      <formula>AND(NOT(ISBLANK(E18)),NOT(ISBLANK(F18)),E18&lt;=AP$4,F18&gt;=AP$4)</formula>
    </cfRule>
  </conditionalFormatting>
  <conditionalFormatting sqref="AP24:AP28">
    <cfRule type="expression" dxfId="281" priority="281">
      <formula>AND(NOT(ISBLANK(E24)),NOT(ISBLANK(F24)),D24&gt;0,E24&lt;=AP$4,ROUNDDOWN((F24-E24+1)*D24,0)+E24-1&gt;=AP$4)</formula>
    </cfRule>
    <cfRule type="expression" dxfId="280" priority="282">
      <formula>AND(NOT(ISBLANK(E24)),NOT(ISBLANK(F24)),E24&lt;=AP$4,F24&gt;=AP$4)</formula>
    </cfRule>
  </conditionalFormatting>
  <conditionalFormatting sqref="AQ6:AQ10">
    <cfRule type="expression" dxfId="279" priority="283">
      <formula>AND(NOT(ISBLANK(E6)),NOT(ISBLANK(F6)),D6&gt;0,E6&lt;=AQ$4,ROUNDDOWN((F6-E6+1)*D6,0)+E6-1&gt;=AQ$4)</formula>
    </cfRule>
    <cfRule type="expression" dxfId="278" priority="284">
      <formula>AND(NOT(ISBLANK(E6)),NOT(ISBLANK(F6)),E6&lt;=AQ$4,F6&gt;=AQ$4)</formula>
    </cfRule>
  </conditionalFormatting>
  <conditionalFormatting sqref="AQ12:AQ16">
    <cfRule type="expression" dxfId="277" priority="286">
      <formula>AND(NOT(ISBLANK(E12)),NOT(ISBLANK(F12)),E12&lt;=AQ$4,F12&gt;=AQ$4)</formula>
    </cfRule>
    <cfRule type="expression" dxfId="276" priority="285">
      <formula>AND(NOT(ISBLANK(E12)),NOT(ISBLANK(F12)),D12&gt;0,E12&lt;=AQ$4,ROUNDDOWN((F12-E12+1)*D12,0)+E12-1&gt;=AQ$4)</formula>
    </cfRule>
  </conditionalFormatting>
  <conditionalFormatting sqref="AQ18:AQ22">
    <cfRule type="expression" dxfId="275" priority="288">
      <formula>AND(NOT(ISBLANK(E18)),NOT(ISBLANK(F18)),E18&lt;=AQ$4,F18&gt;=AQ$4)</formula>
    </cfRule>
    <cfRule type="expression" dxfId="274" priority="287">
      <formula>AND(NOT(ISBLANK(E18)),NOT(ISBLANK(F18)),D18&gt;0,E18&lt;=AQ$4,ROUNDDOWN((F18-E18+1)*D18,0)+E18-1&gt;=AQ$4)</formula>
    </cfRule>
  </conditionalFormatting>
  <conditionalFormatting sqref="AQ24:AQ28">
    <cfRule type="expression" dxfId="273" priority="289">
      <formula>AND(NOT(ISBLANK(E24)),NOT(ISBLANK(F24)),D24&gt;0,E24&lt;=AQ$4,ROUNDDOWN((F24-E24+1)*D24,0)+E24-1&gt;=AQ$4)</formula>
    </cfRule>
    <cfRule type="expression" dxfId="272" priority="290">
      <formula>AND(NOT(ISBLANK(E24)),NOT(ISBLANK(F24)),E24&lt;=AQ$4,F24&gt;=AQ$4)</formula>
    </cfRule>
  </conditionalFormatting>
  <conditionalFormatting sqref="AR6:AR10">
    <cfRule type="expression" dxfId="271" priority="291">
      <formula>AND(NOT(ISBLANK(E6)),NOT(ISBLANK(F6)),D6&gt;0,E6&lt;=AR$4,ROUNDDOWN((F6-E6+1)*D6,0)+E6-1&gt;=AR$4)</formula>
    </cfRule>
    <cfRule type="expression" dxfId="270" priority="292">
      <formula>AND(NOT(ISBLANK(E6)),NOT(ISBLANK(F6)),E6&lt;=AR$4,F6&gt;=AR$4)</formula>
    </cfRule>
  </conditionalFormatting>
  <conditionalFormatting sqref="AR12:AR16">
    <cfRule type="expression" dxfId="269" priority="293">
      <formula>AND(NOT(ISBLANK(E12)),NOT(ISBLANK(F12)),D12&gt;0,E12&lt;=AR$4,ROUNDDOWN((F12-E12+1)*D12,0)+E12-1&gt;=AR$4)</formula>
    </cfRule>
    <cfRule type="expression" dxfId="268" priority="294">
      <formula>AND(NOT(ISBLANK(E12)),NOT(ISBLANK(F12)),E12&lt;=AR$4,F12&gt;=AR$4)</formula>
    </cfRule>
  </conditionalFormatting>
  <conditionalFormatting sqref="AR18:AR22">
    <cfRule type="expression" dxfId="267" priority="295">
      <formula>AND(NOT(ISBLANK(E18)),NOT(ISBLANK(F18)),D18&gt;0,E18&lt;=AR$4,ROUNDDOWN((F18-E18+1)*D18,0)+E18-1&gt;=AR$4)</formula>
    </cfRule>
    <cfRule type="expression" dxfId="266" priority="296">
      <formula>AND(NOT(ISBLANK(E18)),NOT(ISBLANK(F18)),E18&lt;=AR$4,F18&gt;=AR$4)</formula>
    </cfRule>
  </conditionalFormatting>
  <conditionalFormatting sqref="AR24:AR28">
    <cfRule type="expression" dxfId="265" priority="297">
      <formula>AND(NOT(ISBLANK(E24)),NOT(ISBLANK(F24)),D24&gt;0,E24&lt;=AR$4,ROUNDDOWN((F24-E24+1)*D24,0)+E24-1&gt;=AR$4)</formula>
    </cfRule>
    <cfRule type="expression" dxfId="264" priority="298">
      <formula>AND(NOT(ISBLANK(E24)),NOT(ISBLANK(F24)),E24&lt;=AR$4,F24&gt;=AR$4)</formula>
    </cfRule>
  </conditionalFormatting>
  <conditionalFormatting sqref="AS6:AS10">
    <cfRule type="expression" dxfId="263" priority="299">
      <formula>AND(NOT(ISBLANK(E6)),NOT(ISBLANK(F6)),D6&gt;0,E6&lt;=AS$4,ROUNDDOWN((F6-E6+1)*D6,0)+E6-1&gt;=AS$4)</formula>
    </cfRule>
    <cfRule type="expression" dxfId="262" priority="300">
      <formula>AND(NOT(ISBLANK(E6)),NOT(ISBLANK(F6)),E6&lt;=AS$4,F6&gt;=AS$4)</formula>
    </cfRule>
  </conditionalFormatting>
  <conditionalFormatting sqref="AS12:AS16">
    <cfRule type="expression" dxfId="261" priority="301">
      <formula>AND(NOT(ISBLANK(E12)),NOT(ISBLANK(F12)),D12&gt;0,E12&lt;=AS$4,ROUNDDOWN((F12-E12+1)*D12,0)+E12-1&gt;=AS$4)</formula>
    </cfRule>
    <cfRule type="expression" dxfId="260" priority="302">
      <formula>AND(NOT(ISBLANK(E12)),NOT(ISBLANK(F12)),E12&lt;=AS$4,F12&gt;=AS$4)</formula>
    </cfRule>
  </conditionalFormatting>
  <conditionalFormatting sqref="AS18:AS22">
    <cfRule type="expression" dxfId="259" priority="303">
      <formula>AND(NOT(ISBLANK(E18)),NOT(ISBLANK(F18)),D18&gt;0,E18&lt;=AS$4,ROUNDDOWN((F18-E18+1)*D18,0)+E18-1&gt;=AS$4)</formula>
    </cfRule>
    <cfRule type="expression" dxfId="258" priority="304">
      <formula>AND(NOT(ISBLANK(E18)),NOT(ISBLANK(F18)),E18&lt;=AS$4,F18&gt;=AS$4)</formula>
    </cfRule>
  </conditionalFormatting>
  <conditionalFormatting sqref="AS24:AS28">
    <cfRule type="expression" dxfId="257" priority="305">
      <formula>AND(NOT(ISBLANK(E24)),NOT(ISBLANK(F24)),D24&gt;0,E24&lt;=AS$4,ROUNDDOWN((F24-E24+1)*D24,0)+E24-1&gt;=AS$4)</formula>
    </cfRule>
    <cfRule type="expression" dxfId="256" priority="306">
      <formula>AND(NOT(ISBLANK(E24)),NOT(ISBLANK(F24)),E24&lt;=AS$4,F24&gt;=AS$4)</formula>
    </cfRule>
  </conditionalFormatting>
  <conditionalFormatting sqref="AT6:AT10">
    <cfRule type="expression" dxfId="255" priority="307">
      <formula>AND(NOT(ISBLANK(E6)),NOT(ISBLANK(F6)),D6&gt;0,E6&lt;=AT$4,ROUNDDOWN((F6-E6+1)*D6,0)+E6-1&gt;=AT$4)</formula>
    </cfRule>
    <cfRule type="expression" dxfId="254" priority="308">
      <formula>AND(NOT(ISBLANK(E6)),NOT(ISBLANK(F6)),E6&lt;=AT$4,F6&gt;=AT$4)</formula>
    </cfRule>
  </conditionalFormatting>
  <conditionalFormatting sqref="AT12:AT16">
    <cfRule type="expression" dxfId="253" priority="310">
      <formula>AND(NOT(ISBLANK(E12)),NOT(ISBLANK(F12)),E12&lt;=AT$4,F12&gt;=AT$4)</formula>
    </cfRule>
    <cfRule type="expression" dxfId="252" priority="309">
      <formula>AND(NOT(ISBLANK(E12)),NOT(ISBLANK(F12)),D12&gt;0,E12&lt;=AT$4,ROUNDDOWN((F12-E12+1)*D12,0)+E12-1&gt;=AT$4)</formula>
    </cfRule>
  </conditionalFormatting>
  <conditionalFormatting sqref="AT18:AT22">
    <cfRule type="expression" dxfId="251" priority="311">
      <formula>AND(NOT(ISBLANK(E18)),NOT(ISBLANK(F18)),D18&gt;0,E18&lt;=AT$4,ROUNDDOWN((F18-E18+1)*D18,0)+E18-1&gt;=AT$4)</formula>
    </cfRule>
    <cfRule type="expression" dxfId="250" priority="312">
      <formula>AND(NOT(ISBLANK(E18)),NOT(ISBLANK(F18)),E18&lt;=AT$4,F18&gt;=AT$4)</formula>
    </cfRule>
  </conditionalFormatting>
  <conditionalFormatting sqref="AT24:AT28">
    <cfRule type="expression" dxfId="249" priority="313">
      <formula>AND(NOT(ISBLANK(E24)),NOT(ISBLANK(F24)),D24&gt;0,E24&lt;=AT$4,ROUNDDOWN((F24-E24+1)*D24,0)+E24-1&gt;=AT$4)</formula>
    </cfRule>
    <cfRule type="expression" dxfId="248" priority="314">
      <formula>AND(NOT(ISBLANK(E24)),NOT(ISBLANK(F24)),E24&lt;=AT$4,F24&gt;=AT$4)</formula>
    </cfRule>
  </conditionalFormatting>
  <conditionalFormatting sqref="AU6:AU10">
    <cfRule type="expression" dxfId="247" priority="315">
      <formula>AND(NOT(ISBLANK(E6)),NOT(ISBLANK(F6)),D6&gt;0,E6&lt;=AU$4,ROUNDDOWN((F6-E6+1)*D6,0)+E6-1&gt;=AU$4)</formula>
    </cfRule>
    <cfRule type="expression" dxfId="246" priority="316">
      <formula>AND(NOT(ISBLANK(E6)),NOT(ISBLANK(F6)),E6&lt;=AU$4,F6&gt;=AU$4)</formula>
    </cfRule>
  </conditionalFormatting>
  <conditionalFormatting sqref="AU12:AU16">
    <cfRule type="expression" dxfId="245" priority="317">
      <formula>AND(NOT(ISBLANK(E12)),NOT(ISBLANK(F12)),D12&gt;0,E12&lt;=AU$4,ROUNDDOWN((F12-E12+1)*D12,0)+E12-1&gt;=AU$4)</formula>
    </cfRule>
    <cfRule type="expression" dxfId="244" priority="318">
      <formula>AND(NOT(ISBLANK(E12)),NOT(ISBLANK(F12)),E12&lt;=AU$4,F12&gt;=AU$4)</formula>
    </cfRule>
  </conditionalFormatting>
  <conditionalFormatting sqref="AU18:AU22">
    <cfRule type="expression" dxfId="243" priority="319">
      <formula>AND(NOT(ISBLANK(E18)),NOT(ISBLANK(F18)),D18&gt;0,E18&lt;=AU$4,ROUNDDOWN((F18-E18+1)*D18,0)+E18-1&gt;=AU$4)</formula>
    </cfRule>
    <cfRule type="expression" dxfId="242" priority="320">
      <formula>AND(NOT(ISBLANK(E18)),NOT(ISBLANK(F18)),E18&lt;=AU$4,F18&gt;=AU$4)</formula>
    </cfRule>
  </conditionalFormatting>
  <conditionalFormatting sqref="AU24:AU28">
    <cfRule type="expression" dxfId="241" priority="321">
      <formula>AND(NOT(ISBLANK(E24)),NOT(ISBLANK(F24)),D24&gt;0,E24&lt;=AU$4,ROUNDDOWN((F24-E24+1)*D24,0)+E24-1&gt;=AU$4)</formula>
    </cfRule>
    <cfRule type="expression" dxfId="240" priority="322">
      <formula>AND(NOT(ISBLANK(E24)),NOT(ISBLANK(F24)),E24&lt;=AU$4,F24&gt;=AU$4)</formula>
    </cfRule>
  </conditionalFormatting>
  <conditionalFormatting sqref="AV6:AV10">
    <cfRule type="expression" dxfId="239" priority="323">
      <formula>AND(NOT(ISBLANK(E6)),NOT(ISBLANK(F6)),D6&gt;0,E6&lt;=AV$4,ROUNDDOWN((F6-E6+1)*D6,0)+E6-1&gt;=AV$4)</formula>
    </cfRule>
    <cfRule type="expression" dxfId="238" priority="324">
      <formula>AND(NOT(ISBLANK(E6)),NOT(ISBLANK(F6)),E6&lt;=AV$4,F6&gt;=AV$4)</formula>
    </cfRule>
  </conditionalFormatting>
  <conditionalFormatting sqref="AV12:AV16">
    <cfRule type="expression" dxfId="237" priority="325">
      <formula>AND(NOT(ISBLANK(E12)),NOT(ISBLANK(F12)),D12&gt;0,E12&lt;=AV$4,ROUNDDOWN((F12-E12+1)*D12,0)+E12-1&gt;=AV$4)</formula>
    </cfRule>
    <cfRule type="expression" dxfId="236" priority="326">
      <formula>AND(NOT(ISBLANK(E12)),NOT(ISBLANK(F12)),E12&lt;=AV$4,F12&gt;=AV$4)</formula>
    </cfRule>
  </conditionalFormatting>
  <conditionalFormatting sqref="AV18:AV22">
    <cfRule type="expression" dxfId="235" priority="327">
      <formula>AND(NOT(ISBLANK(E18)),NOT(ISBLANK(F18)),D18&gt;0,E18&lt;=AV$4,ROUNDDOWN((F18-E18+1)*D18,0)+E18-1&gt;=AV$4)</formula>
    </cfRule>
    <cfRule type="expression" dxfId="234" priority="328">
      <formula>AND(NOT(ISBLANK(E18)),NOT(ISBLANK(F18)),E18&lt;=AV$4,F18&gt;=AV$4)</formula>
    </cfRule>
  </conditionalFormatting>
  <conditionalFormatting sqref="AV24:AV28">
    <cfRule type="expression" dxfId="233" priority="329">
      <formula>AND(NOT(ISBLANK(E24)),NOT(ISBLANK(F24)),D24&gt;0,E24&lt;=AV$4,ROUNDDOWN((F24-E24+1)*D24,0)+E24-1&gt;=AV$4)</formula>
    </cfRule>
    <cfRule type="expression" dxfId="232" priority="330">
      <formula>AND(NOT(ISBLANK(E24)),NOT(ISBLANK(F24)),E24&lt;=AV$4,F24&gt;=AV$4)</formula>
    </cfRule>
  </conditionalFormatting>
  <conditionalFormatting sqref="AW6:AW10">
    <cfRule type="expression" dxfId="231" priority="331">
      <formula>AND(NOT(ISBLANK(E6)),NOT(ISBLANK(F6)),D6&gt;0,E6&lt;=AW$4,ROUNDDOWN((F6-E6+1)*D6,0)+E6-1&gt;=AW$4)</formula>
    </cfRule>
    <cfRule type="expression" dxfId="230" priority="332">
      <formula>AND(NOT(ISBLANK(E6)),NOT(ISBLANK(F6)),E6&lt;=AW$4,F6&gt;=AW$4)</formula>
    </cfRule>
  </conditionalFormatting>
  <conditionalFormatting sqref="AW12:AW16">
    <cfRule type="expression" dxfId="229" priority="333">
      <formula>AND(NOT(ISBLANK(E12)),NOT(ISBLANK(F12)),D12&gt;0,E12&lt;=AW$4,ROUNDDOWN((F12-E12+1)*D12,0)+E12-1&gt;=AW$4)</formula>
    </cfRule>
    <cfRule type="expression" dxfId="228" priority="334">
      <formula>AND(NOT(ISBLANK(E12)),NOT(ISBLANK(F12)),E12&lt;=AW$4,F12&gt;=AW$4)</formula>
    </cfRule>
  </conditionalFormatting>
  <conditionalFormatting sqref="AW18:AW22">
    <cfRule type="expression" dxfId="227" priority="335">
      <formula>AND(NOT(ISBLANK(E18)),NOT(ISBLANK(F18)),D18&gt;0,E18&lt;=AW$4,ROUNDDOWN((F18-E18+1)*D18,0)+E18-1&gt;=AW$4)</formula>
    </cfRule>
    <cfRule type="expression" dxfId="226" priority="336">
      <formula>AND(NOT(ISBLANK(E18)),NOT(ISBLANK(F18)),E18&lt;=AW$4,F18&gt;=AW$4)</formula>
    </cfRule>
  </conditionalFormatting>
  <conditionalFormatting sqref="AW24:AW28">
    <cfRule type="expression" dxfId="225" priority="337">
      <formula>AND(NOT(ISBLANK(E24)),NOT(ISBLANK(F24)),D24&gt;0,E24&lt;=AW$4,ROUNDDOWN((F24-E24+1)*D24,0)+E24-1&gt;=AW$4)</formula>
    </cfRule>
    <cfRule type="expression" dxfId="224" priority="338">
      <formula>AND(NOT(ISBLANK(E24)),NOT(ISBLANK(F24)),E24&lt;=AW$4,F24&gt;=AW$4)</formula>
    </cfRule>
  </conditionalFormatting>
  <conditionalFormatting sqref="AX6:AX10">
    <cfRule type="expression" dxfId="223" priority="339">
      <formula>AND(NOT(ISBLANK(E6)),NOT(ISBLANK(F6)),D6&gt;0,E6&lt;=AX$4,ROUNDDOWN((F6-E6+1)*D6,0)+E6-1&gt;=AX$4)</formula>
    </cfRule>
    <cfRule type="expression" dxfId="222" priority="340">
      <formula>AND(NOT(ISBLANK(E6)),NOT(ISBLANK(F6)),E6&lt;=AX$4,F6&gt;=AX$4)</formula>
    </cfRule>
  </conditionalFormatting>
  <conditionalFormatting sqref="AX12:AX16">
    <cfRule type="expression" dxfId="221" priority="341">
      <formula>AND(NOT(ISBLANK(E12)),NOT(ISBLANK(F12)),D12&gt;0,E12&lt;=AX$4,ROUNDDOWN((F12-E12+1)*D12,0)+E12-1&gt;=AX$4)</formula>
    </cfRule>
    <cfRule type="expression" dxfId="220" priority="342">
      <formula>AND(NOT(ISBLANK(E12)),NOT(ISBLANK(F12)),E12&lt;=AX$4,F12&gt;=AX$4)</formula>
    </cfRule>
  </conditionalFormatting>
  <conditionalFormatting sqref="AX18:AX22">
    <cfRule type="expression" dxfId="219" priority="343">
      <formula>AND(NOT(ISBLANK(E18)),NOT(ISBLANK(F18)),D18&gt;0,E18&lt;=AX$4,ROUNDDOWN((F18-E18+1)*D18,0)+E18-1&gt;=AX$4)</formula>
    </cfRule>
    <cfRule type="expression" dxfId="218" priority="344">
      <formula>AND(NOT(ISBLANK(E18)),NOT(ISBLANK(F18)),E18&lt;=AX$4,F18&gt;=AX$4)</formula>
    </cfRule>
  </conditionalFormatting>
  <conditionalFormatting sqref="AX24:AX28">
    <cfRule type="expression" dxfId="217" priority="345">
      <formula>AND(NOT(ISBLANK(E24)),NOT(ISBLANK(F24)),D24&gt;0,E24&lt;=AX$4,ROUNDDOWN((F24-E24+1)*D24,0)+E24-1&gt;=AX$4)</formula>
    </cfRule>
    <cfRule type="expression" dxfId="216" priority="346">
      <formula>AND(NOT(ISBLANK(E24)),NOT(ISBLANK(F24)),E24&lt;=AX$4,F24&gt;=AX$4)</formula>
    </cfRule>
  </conditionalFormatting>
  <conditionalFormatting sqref="AY6:AY10">
    <cfRule type="expression" dxfId="215" priority="347">
      <formula>AND(NOT(ISBLANK(E6)),NOT(ISBLANK(F6)),D6&gt;0,E6&lt;=AY$4,ROUNDDOWN((F6-E6+1)*D6,0)+E6-1&gt;=AY$4)</formula>
    </cfRule>
    <cfRule type="expression" dxfId="214" priority="348">
      <formula>AND(NOT(ISBLANK(E6)),NOT(ISBLANK(F6)),E6&lt;=AY$4,F6&gt;=AY$4)</formula>
    </cfRule>
  </conditionalFormatting>
  <conditionalFormatting sqref="AY12:AY16">
    <cfRule type="expression" dxfId="213" priority="350">
      <formula>AND(NOT(ISBLANK(E12)),NOT(ISBLANK(F12)),E12&lt;=AY$4,F12&gt;=AY$4)</formula>
    </cfRule>
    <cfRule type="expression" dxfId="212" priority="349">
      <formula>AND(NOT(ISBLANK(E12)),NOT(ISBLANK(F12)),D12&gt;0,E12&lt;=AY$4,ROUNDDOWN((F12-E12+1)*D12,0)+E12-1&gt;=AY$4)</formula>
    </cfRule>
  </conditionalFormatting>
  <conditionalFormatting sqref="AY18:AY22">
    <cfRule type="expression" dxfId="211" priority="351">
      <formula>AND(NOT(ISBLANK(E18)),NOT(ISBLANK(F18)),D18&gt;0,E18&lt;=AY$4,ROUNDDOWN((F18-E18+1)*D18,0)+E18-1&gt;=AY$4)</formula>
    </cfRule>
    <cfRule type="expression" dxfId="210" priority="352">
      <formula>AND(NOT(ISBLANK(E18)),NOT(ISBLANK(F18)),E18&lt;=AY$4,F18&gt;=AY$4)</formula>
    </cfRule>
  </conditionalFormatting>
  <conditionalFormatting sqref="AY24:AY28">
    <cfRule type="expression" dxfId="209" priority="353">
      <formula>AND(NOT(ISBLANK(E24)),NOT(ISBLANK(F24)),D24&gt;0,E24&lt;=AY$4,ROUNDDOWN((F24-E24+1)*D24,0)+E24-1&gt;=AY$4)</formula>
    </cfRule>
    <cfRule type="expression" dxfId="208" priority="354">
      <formula>AND(NOT(ISBLANK(E24)),NOT(ISBLANK(F24)),E24&lt;=AY$4,F24&gt;=AY$4)</formula>
    </cfRule>
  </conditionalFormatting>
  <conditionalFormatting sqref="AZ6:AZ10">
    <cfRule type="expression" dxfId="207" priority="355">
      <formula>AND(NOT(ISBLANK(E6)),NOT(ISBLANK(F6)),D6&gt;0,E6&lt;=AZ$4,ROUNDDOWN((F6-E6+1)*D6,0)+E6-1&gt;=AZ$4)</formula>
    </cfRule>
    <cfRule type="expression" dxfId="206" priority="356">
      <formula>AND(NOT(ISBLANK(E6)),NOT(ISBLANK(F6)),E6&lt;=AZ$4,F6&gt;=AZ$4)</formula>
    </cfRule>
  </conditionalFormatting>
  <conditionalFormatting sqref="AZ12:AZ16">
    <cfRule type="expression" dxfId="205" priority="357">
      <formula>AND(NOT(ISBLANK(E12)),NOT(ISBLANK(F12)),D12&gt;0,E12&lt;=AZ$4,ROUNDDOWN((F12-E12+1)*D12,0)+E12-1&gt;=AZ$4)</formula>
    </cfRule>
    <cfRule type="expression" dxfId="204" priority="358">
      <formula>AND(NOT(ISBLANK(E12)),NOT(ISBLANK(F12)),E12&lt;=AZ$4,F12&gt;=AZ$4)</formula>
    </cfRule>
  </conditionalFormatting>
  <conditionalFormatting sqref="AZ18:AZ22">
    <cfRule type="expression" dxfId="203" priority="360">
      <formula>AND(NOT(ISBLANK(E18)),NOT(ISBLANK(F18)),E18&lt;=AZ$4,F18&gt;=AZ$4)</formula>
    </cfRule>
    <cfRule type="expression" dxfId="202" priority="359">
      <formula>AND(NOT(ISBLANK(E18)),NOT(ISBLANK(F18)),D18&gt;0,E18&lt;=AZ$4,ROUNDDOWN((F18-E18+1)*D18,0)+E18-1&gt;=AZ$4)</formula>
    </cfRule>
  </conditionalFormatting>
  <conditionalFormatting sqref="AZ24:AZ28">
    <cfRule type="expression" dxfId="201" priority="362">
      <formula>AND(NOT(ISBLANK(E24)),NOT(ISBLANK(F24)),E24&lt;=AZ$4,F24&gt;=AZ$4)</formula>
    </cfRule>
    <cfRule type="expression" dxfId="200" priority="361">
      <formula>AND(NOT(ISBLANK(E24)),NOT(ISBLANK(F24)),D24&gt;0,E24&lt;=AZ$4,ROUNDDOWN((F24-E24+1)*D24,0)+E24-1&gt;=AZ$4)</formula>
    </cfRule>
  </conditionalFormatting>
  <conditionalFormatting sqref="BA6:BA10">
    <cfRule type="expression" dxfId="199" priority="363">
      <formula>AND(NOT(ISBLANK(E6)),NOT(ISBLANK(F6)),D6&gt;0,E6&lt;=BA$4,ROUNDDOWN((F6-E6+1)*D6,0)+E6-1&gt;=BA$4)</formula>
    </cfRule>
    <cfRule type="expression" dxfId="198" priority="364">
      <formula>AND(NOT(ISBLANK(E6)),NOT(ISBLANK(F6)),E6&lt;=BA$4,F6&gt;=BA$4)</formula>
    </cfRule>
  </conditionalFormatting>
  <conditionalFormatting sqref="BA12:BA16">
    <cfRule type="expression" dxfId="197" priority="365">
      <formula>AND(NOT(ISBLANK(E12)),NOT(ISBLANK(F12)),D12&gt;0,E12&lt;=BA$4,ROUNDDOWN((F12-E12+1)*D12,0)+E12-1&gt;=BA$4)</formula>
    </cfRule>
    <cfRule type="expression" dxfId="196" priority="366">
      <formula>AND(NOT(ISBLANK(E12)),NOT(ISBLANK(F12)),E12&lt;=BA$4,F12&gt;=BA$4)</formula>
    </cfRule>
  </conditionalFormatting>
  <conditionalFormatting sqref="BA18:BA22">
    <cfRule type="expression" dxfId="195" priority="367">
      <formula>AND(NOT(ISBLANK(E18)),NOT(ISBLANK(F18)),D18&gt;0,E18&lt;=BA$4,ROUNDDOWN((F18-E18+1)*D18,0)+E18-1&gt;=BA$4)</formula>
    </cfRule>
    <cfRule type="expression" dxfId="194" priority="368">
      <formula>AND(NOT(ISBLANK(E18)),NOT(ISBLANK(F18)),E18&lt;=BA$4,F18&gt;=BA$4)</formula>
    </cfRule>
  </conditionalFormatting>
  <conditionalFormatting sqref="BA24:BA28">
    <cfRule type="expression" dxfId="193" priority="369">
      <formula>AND(NOT(ISBLANK(E24)),NOT(ISBLANK(F24)),D24&gt;0,E24&lt;=BA$4,ROUNDDOWN((F24-E24+1)*D24,0)+E24-1&gt;=BA$4)</formula>
    </cfRule>
    <cfRule type="expression" dxfId="192" priority="370">
      <formula>AND(NOT(ISBLANK(E24)),NOT(ISBLANK(F24)),E24&lt;=BA$4,F24&gt;=BA$4)</formula>
    </cfRule>
  </conditionalFormatting>
  <conditionalFormatting sqref="BB6:BB10">
    <cfRule type="expression" dxfId="191" priority="371">
      <formula>AND(NOT(ISBLANK(E6)),NOT(ISBLANK(F6)),D6&gt;0,E6&lt;=BB$4,ROUNDDOWN((F6-E6+1)*D6,0)+E6-1&gt;=BB$4)</formula>
    </cfRule>
    <cfRule type="expression" dxfId="190" priority="372">
      <formula>AND(NOT(ISBLANK(E6)),NOT(ISBLANK(F6)),E6&lt;=BB$4,F6&gt;=BB$4)</formula>
    </cfRule>
  </conditionalFormatting>
  <conditionalFormatting sqref="BB12:BB16">
    <cfRule type="expression" dxfId="189" priority="373">
      <formula>AND(NOT(ISBLANK(E12)),NOT(ISBLANK(F12)),D12&gt;0,E12&lt;=BB$4,ROUNDDOWN((F12-E12+1)*D12,0)+E12-1&gt;=BB$4)</formula>
    </cfRule>
    <cfRule type="expression" dxfId="188" priority="374">
      <formula>AND(NOT(ISBLANK(E12)),NOT(ISBLANK(F12)),E12&lt;=BB$4,F12&gt;=BB$4)</formula>
    </cfRule>
  </conditionalFormatting>
  <conditionalFormatting sqref="BB18:BB22">
    <cfRule type="expression" dxfId="187" priority="375">
      <formula>AND(NOT(ISBLANK(E18)),NOT(ISBLANK(F18)),D18&gt;0,E18&lt;=BB$4,ROUNDDOWN((F18-E18+1)*D18,0)+E18-1&gt;=BB$4)</formula>
    </cfRule>
    <cfRule type="expression" dxfId="186" priority="376">
      <formula>AND(NOT(ISBLANK(E18)),NOT(ISBLANK(F18)),E18&lt;=BB$4,F18&gt;=BB$4)</formula>
    </cfRule>
  </conditionalFormatting>
  <conditionalFormatting sqref="BB24:BB28">
    <cfRule type="expression" dxfId="185" priority="377">
      <formula>AND(NOT(ISBLANK(E24)),NOT(ISBLANK(F24)),D24&gt;0,E24&lt;=BB$4,ROUNDDOWN((F24-E24+1)*D24,0)+E24-1&gt;=BB$4)</formula>
    </cfRule>
    <cfRule type="expression" dxfId="184" priority="378">
      <formula>AND(NOT(ISBLANK(E24)),NOT(ISBLANK(F24)),E24&lt;=BB$4,F24&gt;=BB$4)</formula>
    </cfRule>
  </conditionalFormatting>
  <conditionalFormatting sqref="BC6:BC10">
    <cfRule type="expression" dxfId="183" priority="379">
      <formula>AND(NOT(ISBLANK(E6)),NOT(ISBLANK(F6)),D6&gt;0,E6&lt;=BC$4,ROUNDDOWN((F6-E6+1)*D6,0)+E6-1&gt;=BC$4)</formula>
    </cfRule>
    <cfRule type="expression" dxfId="182" priority="380">
      <formula>AND(NOT(ISBLANK(E6)),NOT(ISBLANK(F6)),E6&lt;=BC$4,F6&gt;=BC$4)</formula>
    </cfRule>
  </conditionalFormatting>
  <conditionalFormatting sqref="BC12:BC16">
    <cfRule type="expression" dxfId="181" priority="381">
      <formula>AND(NOT(ISBLANK(E12)),NOT(ISBLANK(F12)),D12&gt;0,E12&lt;=BC$4,ROUNDDOWN((F12-E12+1)*D12,0)+E12-1&gt;=BC$4)</formula>
    </cfRule>
    <cfRule type="expression" dxfId="180" priority="382">
      <formula>AND(NOT(ISBLANK(E12)),NOT(ISBLANK(F12)),E12&lt;=BC$4,F12&gt;=BC$4)</formula>
    </cfRule>
  </conditionalFormatting>
  <conditionalFormatting sqref="BC18:BC22">
    <cfRule type="expression" dxfId="179" priority="383">
      <formula>AND(NOT(ISBLANK(E18)),NOT(ISBLANK(F18)),D18&gt;0,E18&lt;=BC$4,ROUNDDOWN((F18-E18+1)*D18,0)+E18-1&gt;=BC$4)</formula>
    </cfRule>
    <cfRule type="expression" dxfId="178" priority="384">
      <formula>AND(NOT(ISBLANK(E18)),NOT(ISBLANK(F18)),E18&lt;=BC$4,F18&gt;=BC$4)</formula>
    </cfRule>
  </conditionalFormatting>
  <conditionalFormatting sqref="BC24:BC28">
    <cfRule type="expression" dxfId="177" priority="385">
      <formula>AND(NOT(ISBLANK(E24)),NOT(ISBLANK(F24)),D24&gt;0,E24&lt;=BC$4,ROUNDDOWN((F24-E24+1)*D24,0)+E24-1&gt;=BC$4)</formula>
    </cfRule>
    <cfRule type="expression" dxfId="176" priority="386">
      <formula>AND(NOT(ISBLANK(E24)),NOT(ISBLANK(F24)),E24&lt;=BC$4,F24&gt;=BC$4)</formula>
    </cfRule>
  </conditionalFormatting>
  <conditionalFormatting sqref="BD6:BD10">
    <cfRule type="expression" dxfId="175" priority="387">
      <formula>AND(NOT(ISBLANK(E6)),NOT(ISBLANK(F6)),D6&gt;0,E6&lt;=BD$4,ROUNDDOWN((F6-E6+1)*D6,0)+E6-1&gt;=BD$4)</formula>
    </cfRule>
    <cfRule type="expression" dxfId="174" priority="388">
      <formula>AND(NOT(ISBLANK(E6)),NOT(ISBLANK(F6)),E6&lt;=BD$4,F6&gt;=BD$4)</formula>
    </cfRule>
  </conditionalFormatting>
  <conditionalFormatting sqref="BD12:BD16">
    <cfRule type="expression" dxfId="173" priority="389">
      <formula>AND(NOT(ISBLANK(E12)),NOT(ISBLANK(F12)),D12&gt;0,E12&lt;=BD$4,ROUNDDOWN((F12-E12+1)*D12,0)+E12-1&gt;=BD$4)</formula>
    </cfRule>
    <cfRule type="expression" dxfId="172" priority="390">
      <formula>AND(NOT(ISBLANK(E12)),NOT(ISBLANK(F12)),E12&lt;=BD$4,F12&gt;=BD$4)</formula>
    </cfRule>
  </conditionalFormatting>
  <conditionalFormatting sqref="BD18:BD22">
    <cfRule type="expression" dxfId="171" priority="391">
      <formula>AND(NOT(ISBLANK(E18)),NOT(ISBLANK(F18)),D18&gt;0,E18&lt;=BD$4,ROUNDDOWN((F18-E18+1)*D18,0)+E18-1&gt;=BD$4)</formula>
    </cfRule>
    <cfRule type="expression" dxfId="170" priority="392">
      <formula>AND(NOT(ISBLANK(E18)),NOT(ISBLANK(F18)),E18&lt;=BD$4,F18&gt;=BD$4)</formula>
    </cfRule>
  </conditionalFormatting>
  <conditionalFormatting sqref="BD24:BD28">
    <cfRule type="expression" dxfId="169" priority="393">
      <formula>AND(NOT(ISBLANK(E24)),NOT(ISBLANK(F24)),D24&gt;0,E24&lt;=BD$4,ROUNDDOWN((F24-E24+1)*D24,0)+E24-1&gt;=BD$4)</formula>
    </cfRule>
    <cfRule type="expression" dxfId="168" priority="394">
      <formula>AND(NOT(ISBLANK(E24)),NOT(ISBLANK(F24)),E24&lt;=BD$4,F24&gt;=BD$4)</formula>
    </cfRule>
  </conditionalFormatting>
  <conditionalFormatting sqref="BE6:BE10">
    <cfRule type="expression" dxfId="167" priority="395">
      <formula>AND(NOT(ISBLANK(E6)),NOT(ISBLANK(F6)),D6&gt;0,E6&lt;=BE$4,ROUNDDOWN((F6-E6+1)*D6,0)+E6-1&gt;=BE$4)</formula>
    </cfRule>
    <cfRule type="expression" dxfId="166" priority="396">
      <formula>AND(NOT(ISBLANK(E6)),NOT(ISBLANK(F6)),E6&lt;=BE$4,F6&gt;=BE$4)</formula>
    </cfRule>
  </conditionalFormatting>
  <conditionalFormatting sqref="BE12:BE16">
    <cfRule type="expression" dxfId="165" priority="397">
      <formula>AND(NOT(ISBLANK(E12)),NOT(ISBLANK(F12)),D12&gt;0,E12&lt;=BE$4,ROUNDDOWN((F12-E12+1)*D12,0)+E12-1&gt;=BE$4)</formula>
    </cfRule>
    <cfRule type="expression" dxfId="164" priority="398">
      <formula>AND(NOT(ISBLANK(E12)),NOT(ISBLANK(F12)),E12&lt;=BE$4,F12&gt;=BE$4)</formula>
    </cfRule>
  </conditionalFormatting>
  <conditionalFormatting sqref="BE18:BE22">
    <cfRule type="expression" dxfId="163" priority="399">
      <formula>AND(NOT(ISBLANK(E18)),NOT(ISBLANK(F18)),D18&gt;0,E18&lt;=BE$4,ROUNDDOWN((F18-E18+1)*D18,0)+E18-1&gt;=BE$4)</formula>
    </cfRule>
    <cfRule type="expression" dxfId="162" priority="400">
      <formula>AND(NOT(ISBLANK(E18)),NOT(ISBLANK(F18)),E18&lt;=BE$4,F18&gt;=BE$4)</formula>
    </cfRule>
  </conditionalFormatting>
  <conditionalFormatting sqref="BE24:BE28">
    <cfRule type="expression" dxfId="161" priority="401">
      <formula>AND(NOT(ISBLANK(E24)),NOT(ISBLANK(F24)),D24&gt;0,E24&lt;=BE$4,ROUNDDOWN((F24-E24+1)*D24,0)+E24-1&gt;=BE$4)</formula>
    </cfRule>
    <cfRule type="expression" dxfId="160" priority="402">
      <formula>AND(NOT(ISBLANK(E24)),NOT(ISBLANK(F24)),E24&lt;=BE$4,F24&gt;=BE$4)</formula>
    </cfRule>
  </conditionalFormatting>
  <conditionalFormatting sqref="BF6:BF10">
    <cfRule type="expression" dxfId="159" priority="403">
      <formula>AND(NOT(ISBLANK(E6)),NOT(ISBLANK(F6)),D6&gt;0,E6&lt;=BF$4,ROUNDDOWN((F6-E6+1)*D6,0)+E6-1&gt;=BF$4)</formula>
    </cfRule>
    <cfRule type="expression" dxfId="158" priority="404">
      <formula>AND(NOT(ISBLANK(E6)),NOT(ISBLANK(F6)),E6&lt;=BF$4,F6&gt;=BF$4)</formula>
    </cfRule>
  </conditionalFormatting>
  <conditionalFormatting sqref="BF12:BF16">
    <cfRule type="expression" dxfId="157" priority="405">
      <formula>AND(NOT(ISBLANK(E12)),NOT(ISBLANK(F12)),D12&gt;0,E12&lt;=BF$4,ROUNDDOWN((F12-E12+1)*D12,0)+E12-1&gt;=BF$4)</formula>
    </cfRule>
    <cfRule type="expression" dxfId="156" priority="406">
      <formula>AND(NOT(ISBLANK(E12)),NOT(ISBLANK(F12)),E12&lt;=BF$4,F12&gt;=BF$4)</formula>
    </cfRule>
  </conditionalFormatting>
  <conditionalFormatting sqref="BF18:BF22">
    <cfRule type="expression" dxfId="155" priority="407">
      <formula>AND(NOT(ISBLANK(E18)),NOT(ISBLANK(F18)),D18&gt;0,E18&lt;=BF$4,ROUNDDOWN((F18-E18+1)*D18,0)+E18-1&gt;=BF$4)</formula>
    </cfRule>
    <cfRule type="expression" dxfId="154" priority="408">
      <formula>AND(NOT(ISBLANK(E18)),NOT(ISBLANK(F18)),E18&lt;=BF$4,F18&gt;=BF$4)</formula>
    </cfRule>
  </conditionalFormatting>
  <conditionalFormatting sqref="BF24:BF28">
    <cfRule type="expression" dxfId="153" priority="410">
      <formula>AND(NOT(ISBLANK(E24)),NOT(ISBLANK(F24)),E24&lt;=BF$4,F24&gt;=BF$4)</formula>
    </cfRule>
    <cfRule type="expression" dxfId="152" priority="409">
      <formula>AND(NOT(ISBLANK(E24)),NOT(ISBLANK(F24)),D24&gt;0,E24&lt;=BF$4,ROUNDDOWN((F24-E24+1)*D24,0)+E24-1&gt;=BF$4)</formula>
    </cfRule>
  </conditionalFormatting>
  <conditionalFormatting sqref="BG6:BG10">
    <cfRule type="expression" dxfId="151" priority="411">
      <formula>AND(NOT(ISBLANK(E6)),NOT(ISBLANK(F6)),D6&gt;0,E6&lt;=BG$4,ROUNDDOWN((F6-E6+1)*D6,0)+E6-1&gt;=BG$4)</formula>
    </cfRule>
    <cfRule type="expression" dxfId="150" priority="412">
      <formula>AND(NOT(ISBLANK(E6)),NOT(ISBLANK(F6)),E6&lt;=BG$4,F6&gt;=BG$4)</formula>
    </cfRule>
  </conditionalFormatting>
  <conditionalFormatting sqref="BG12:BG16">
    <cfRule type="expression" dxfId="149" priority="413">
      <formula>AND(NOT(ISBLANK(E12)),NOT(ISBLANK(F12)),D12&gt;0,E12&lt;=BG$4,ROUNDDOWN((F12-E12+1)*D12,0)+E12-1&gt;=BG$4)</formula>
    </cfRule>
    <cfRule type="expression" dxfId="148" priority="414">
      <formula>AND(NOT(ISBLANK(E12)),NOT(ISBLANK(F12)),E12&lt;=BG$4,F12&gt;=BG$4)</formula>
    </cfRule>
  </conditionalFormatting>
  <conditionalFormatting sqref="BG18:BG22">
    <cfRule type="expression" dxfId="147" priority="415">
      <formula>AND(NOT(ISBLANK(E18)),NOT(ISBLANK(F18)),D18&gt;0,E18&lt;=BG$4,ROUNDDOWN((F18-E18+1)*D18,0)+E18-1&gt;=BG$4)</formula>
    </cfRule>
    <cfRule type="expression" dxfId="146" priority="416">
      <formula>AND(NOT(ISBLANK(E18)),NOT(ISBLANK(F18)),E18&lt;=BG$4,F18&gt;=BG$4)</formula>
    </cfRule>
  </conditionalFormatting>
  <conditionalFormatting sqref="BG24:BG28">
    <cfRule type="expression" dxfId="145" priority="417">
      <formula>AND(NOT(ISBLANK(E24)),NOT(ISBLANK(F24)),D24&gt;0,E24&lt;=BG$4,ROUNDDOWN((F24-E24+1)*D24,0)+E24-1&gt;=BG$4)</formula>
    </cfRule>
    <cfRule type="expression" dxfId="144" priority="418">
      <formula>AND(NOT(ISBLANK(E24)),NOT(ISBLANK(F24)),E24&lt;=BG$4,F24&gt;=BG$4)</formula>
    </cfRule>
  </conditionalFormatting>
  <conditionalFormatting sqref="BH6:BH10">
    <cfRule type="expression" dxfId="143" priority="419">
      <formula>AND(NOT(ISBLANK(E6)),NOT(ISBLANK(F6)),D6&gt;0,E6&lt;=BH$4,ROUNDDOWN((F6-E6+1)*D6,0)+E6-1&gt;=BH$4)</formula>
    </cfRule>
    <cfRule type="expression" dxfId="142" priority="420">
      <formula>AND(NOT(ISBLANK(E6)),NOT(ISBLANK(F6)),E6&lt;=BH$4,F6&gt;=BH$4)</formula>
    </cfRule>
  </conditionalFormatting>
  <conditionalFormatting sqref="BH12:BH16">
    <cfRule type="expression" dxfId="141" priority="421">
      <formula>AND(NOT(ISBLANK(E12)),NOT(ISBLANK(F12)),D12&gt;0,E12&lt;=BH$4,ROUNDDOWN((F12-E12+1)*D12,0)+E12-1&gt;=BH$4)</formula>
    </cfRule>
    <cfRule type="expression" dxfId="140" priority="422">
      <formula>AND(NOT(ISBLANK(E12)),NOT(ISBLANK(F12)),E12&lt;=BH$4,F12&gt;=BH$4)</formula>
    </cfRule>
  </conditionalFormatting>
  <conditionalFormatting sqref="BH18:BH22">
    <cfRule type="expression" dxfId="139" priority="423">
      <formula>AND(NOT(ISBLANK(E18)),NOT(ISBLANK(F18)),D18&gt;0,E18&lt;=BH$4,ROUNDDOWN((F18-E18+1)*D18,0)+E18-1&gt;=BH$4)</formula>
    </cfRule>
    <cfRule type="expression" dxfId="138" priority="424">
      <formula>AND(NOT(ISBLANK(E18)),NOT(ISBLANK(F18)),E18&lt;=BH$4,F18&gt;=BH$4)</formula>
    </cfRule>
  </conditionalFormatting>
  <conditionalFormatting sqref="BH24:BH28">
    <cfRule type="expression" dxfId="137" priority="425">
      <formula>AND(NOT(ISBLANK(E24)),NOT(ISBLANK(F24)),D24&gt;0,E24&lt;=BH$4,ROUNDDOWN((F24-E24+1)*D24,0)+E24-1&gt;=BH$4)</formula>
    </cfRule>
    <cfRule type="expression" dxfId="136" priority="426">
      <formula>AND(NOT(ISBLANK(E24)),NOT(ISBLANK(F24)),E24&lt;=BH$4,F24&gt;=BH$4)</formula>
    </cfRule>
  </conditionalFormatting>
  <conditionalFormatting sqref="BI6:BI10">
    <cfRule type="expression" dxfId="135" priority="427">
      <formula>AND(NOT(ISBLANK(E6)),NOT(ISBLANK(F6)),D6&gt;0,E6&lt;=BI$4,ROUNDDOWN((F6-E6+1)*D6,0)+E6-1&gt;=BI$4)</formula>
    </cfRule>
    <cfRule type="expression" dxfId="134" priority="428">
      <formula>AND(NOT(ISBLANK(E6)),NOT(ISBLANK(F6)),E6&lt;=BI$4,F6&gt;=BI$4)</formula>
    </cfRule>
  </conditionalFormatting>
  <conditionalFormatting sqref="BI12:BI16">
    <cfRule type="expression" dxfId="133" priority="430">
      <formula>AND(NOT(ISBLANK(E12)),NOT(ISBLANK(F12)),E12&lt;=BI$4,F12&gt;=BI$4)</formula>
    </cfRule>
    <cfRule type="expression" dxfId="132" priority="429">
      <formula>AND(NOT(ISBLANK(E12)),NOT(ISBLANK(F12)),D12&gt;0,E12&lt;=BI$4,ROUNDDOWN((F12-E12+1)*D12,0)+E12-1&gt;=BI$4)</formula>
    </cfRule>
  </conditionalFormatting>
  <conditionalFormatting sqref="BI18:BI22">
    <cfRule type="expression" dxfId="131" priority="431">
      <formula>AND(NOT(ISBLANK(E18)),NOT(ISBLANK(F18)),D18&gt;0,E18&lt;=BI$4,ROUNDDOWN((F18-E18+1)*D18,0)+E18-1&gt;=BI$4)</formula>
    </cfRule>
    <cfRule type="expression" dxfId="130" priority="432">
      <formula>AND(NOT(ISBLANK(E18)),NOT(ISBLANK(F18)),E18&lt;=BI$4,F18&gt;=BI$4)</formula>
    </cfRule>
  </conditionalFormatting>
  <conditionalFormatting sqref="BI24:BI28">
    <cfRule type="expression" dxfId="129" priority="433">
      <formula>AND(NOT(ISBLANK(E24)),NOT(ISBLANK(F24)),D24&gt;0,E24&lt;=BI$4,ROUNDDOWN((F24-E24+1)*D24,0)+E24-1&gt;=BI$4)</formula>
    </cfRule>
    <cfRule type="expression" dxfId="128" priority="434">
      <formula>AND(NOT(ISBLANK(E24)),NOT(ISBLANK(F24)),E24&lt;=BI$4,F24&gt;=BI$4)</formula>
    </cfRule>
  </conditionalFormatting>
  <conditionalFormatting sqref="BJ6:BJ10">
    <cfRule type="expression" dxfId="127" priority="435">
      <formula>AND(NOT(ISBLANK(E6)),NOT(ISBLANK(F6)),D6&gt;0,E6&lt;=BJ$4,ROUNDDOWN((F6-E6+1)*D6,0)+E6-1&gt;=BJ$4)</formula>
    </cfRule>
    <cfRule type="expression" dxfId="126" priority="436">
      <formula>AND(NOT(ISBLANK(E6)),NOT(ISBLANK(F6)),E6&lt;=BJ$4,F6&gt;=BJ$4)</formula>
    </cfRule>
  </conditionalFormatting>
  <conditionalFormatting sqref="BJ12:BJ16">
    <cfRule type="expression" dxfId="125" priority="437">
      <formula>AND(NOT(ISBLANK(E12)),NOT(ISBLANK(F12)),D12&gt;0,E12&lt;=BJ$4,ROUNDDOWN((F12-E12+1)*D12,0)+E12-1&gt;=BJ$4)</formula>
    </cfRule>
    <cfRule type="expression" dxfId="124" priority="438">
      <formula>AND(NOT(ISBLANK(E12)),NOT(ISBLANK(F12)),E12&lt;=BJ$4,F12&gt;=BJ$4)</formula>
    </cfRule>
  </conditionalFormatting>
  <conditionalFormatting sqref="BJ18:BJ22">
    <cfRule type="expression" dxfId="123" priority="439">
      <formula>AND(NOT(ISBLANK(E18)),NOT(ISBLANK(F18)),D18&gt;0,E18&lt;=BJ$4,ROUNDDOWN((F18-E18+1)*D18,0)+E18-1&gt;=BJ$4)</formula>
    </cfRule>
    <cfRule type="expression" dxfId="122" priority="440">
      <formula>AND(NOT(ISBLANK(E18)),NOT(ISBLANK(F18)),E18&lt;=BJ$4,F18&gt;=BJ$4)</formula>
    </cfRule>
  </conditionalFormatting>
  <conditionalFormatting sqref="BJ24:BJ28">
    <cfRule type="expression" dxfId="121" priority="441">
      <formula>AND(NOT(ISBLANK(E24)),NOT(ISBLANK(F24)),D24&gt;0,E24&lt;=BJ$4,ROUNDDOWN((F24-E24+1)*D24,0)+E24-1&gt;=BJ$4)</formula>
    </cfRule>
    <cfRule type="expression" dxfId="120" priority="442">
      <formula>AND(NOT(ISBLANK(E24)),NOT(ISBLANK(F24)),E24&lt;=BJ$4,F24&gt;=BJ$4)</formula>
    </cfRule>
  </conditionalFormatting>
  <conditionalFormatting sqref="BK6:BK10">
    <cfRule type="expression" dxfId="119" priority="443">
      <formula>AND(NOT(ISBLANK(E6)),NOT(ISBLANK(F6)),D6&gt;0,E6&lt;=BK$4,ROUNDDOWN((F6-E6+1)*D6,0)+E6-1&gt;=BK$4)</formula>
    </cfRule>
    <cfRule type="expression" dxfId="118" priority="444">
      <formula>AND(NOT(ISBLANK(E6)),NOT(ISBLANK(F6)),E6&lt;=BK$4,F6&gt;=BK$4)</formula>
    </cfRule>
  </conditionalFormatting>
  <conditionalFormatting sqref="BK12:BK16">
    <cfRule type="expression" dxfId="117" priority="445">
      <formula>AND(NOT(ISBLANK(E12)),NOT(ISBLANK(F12)),D12&gt;0,E12&lt;=BK$4,ROUNDDOWN((F12-E12+1)*D12,0)+E12-1&gt;=BK$4)</formula>
    </cfRule>
    <cfRule type="expression" dxfId="116" priority="446">
      <formula>AND(NOT(ISBLANK(E12)),NOT(ISBLANK(F12)),E12&lt;=BK$4,F12&gt;=BK$4)</formula>
    </cfRule>
  </conditionalFormatting>
  <conditionalFormatting sqref="BK18:BK22">
    <cfRule type="expression" dxfId="115" priority="448">
      <formula>AND(NOT(ISBLANK(E18)),NOT(ISBLANK(F18)),E18&lt;=BK$4,F18&gt;=BK$4)</formula>
    </cfRule>
    <cfRule type="expression" dxfId="114" priority="447">
      <formula>AND(NOT(ISBLANK(E18)),NOT(ISBLANK(F18)),D18&gt;0,E18&lt;=BK$4,ROUNDDOWN((F18-E18+1)*D18,0)+E18-1&gt;=BK$4)</formula>
    </cfRule>
  </conditionalFormatting>
  <conditionalFormatting sqref="BK24:BK28">
    <cfRule type="expression" dxfId="113" priority="449">
      <formula>AND(NOT(ISBLANK(E24)),NOT(ISBLANK(F24)),D24&gt;0,E24&lt;=BK$4,ROUNDDOWN((F24-E24+1)*D24,0)+E24-1&gt;=BK$4)</formula>
    </cfRule>
    <cfRule type="expression" dxfId="112" priority="450">
      <formula>AND(NOT(ISBLANK(E24)),NOT(ISBLANK(F24)),E24&lt;=BK$4,F24&gt;=BK$4)</formula>
    </cfRule>
  </conditionalFormatting>
  <conditionalFormatting sqref="BL6:BL10">
    <cfRule type="expression" dxfId="111" priority="451">
      <formula>AND(NOT(ISBLANK(E6)),NOT(ISBLANK(F6)),D6&gt;0,E6&lt;=BL$4,ROUNDDOWN((F6-E6+1)*D6,0)+E6-1&gt;=BL$4)</formula>
    </cfRule>
    <cfRule type="expression" dxfId="110" priority="452">
      <formula>AND(NOT(ISBLANK(E6)),NOT(ISBLANK(F6)),E6&lt;=BL$4,F6&gt;=BL$4)</formula>
    </cfRule>
  </conditionalFormatting>
  <conditionalFormatting sqref="BL12:BL16">
    <cfRule type="expression" dxfId="109" priority="453">
      <formula>AND(NOT(ISBLANK(E12)),NOT(ISBLANK(F12)),D12&gt;0,E12&lt;=BL$4,ROUNDDOWN((F12-E12+1)*D12,0)+E12-1&gt;=BL$4)</formula>
    </cfRule>
    <cfRule type="expression" dxfId="108" priority="454">
      <formula>AND(NOT(ISBLANK(E12)),NOT(ISBLANK(F12)),E12&lt;=BL$4,F12&gt;=BL$4)</formula>
    </cfRule>
  </conditionalFormatting>
  <conditionalFormatting sqref="BL18:BL22">
    <cfRule type="expression" dxfId="107" priority="455">
      <formula>AND(NOT(ISBLANK(E18)),NOT(ISBLANK(F18)),D18&gt;0,E18&lt;=BL$4,ROUNDDOWN((F18-E18+1)*D18,0)+E18-1&gt;=BL$4)</formula>
    </cfRule>
    <cfRule type="expression" dxfId="106" priority="456">
      <formula>AND(NOT(ISBLANK(E18)),NOT(ISBLANK(F18)),E18&lt;=BL$4,F18&gt;=BL$4)</formula>
    </cfRule>
  </conditionalFormatting>
  <conditionalFormatting sqref="BL24:BL28">
    <cfRule type="expression" dxfId="105" priority="457">
      <formula>AND(NOT(ISBLANK(E24)),NOT(ISBLANK(F24)),D24&gt;0,E24&lt;=BL$4,ROUNDDOWN((F24-E24+1)*D24,0)+E24-1&gt;=BL$4)</formula>
    </cfRule>
    <cfRule type="expression" dxfId="104" priority="458">
      <formula>AND(NOT(ISBLANK(E24)),NOT(ISBLANK(F24)),E24&lt;=BL$4,F24&gt;=BL$4)</formula>
    </cfRule>
  </conditionalFormatting>
  <conditionalFormatting sqref="BM6:BM10">
    <cfRule type="expression" dxfId="103" priority="459">
      <formula>AND(NOT(ISBLANK(E6)),NOT(ISBLANK(F6)),D6&gt;0,E6&lt;=BM$4,ROUNDDOWN((F6-E6+1)*D6,0)+E6-1&gt;=BM$4)</formula>
    </cfRule>
    <cfRule type="expression" dxfId="102" priority="460">
      <formula>AND(NOT(ISBLANK(E6)),NOT(ISBLANK(F6)),E6&lt;=BM$4,F6&gt;=BM$4)</formula>
    </cfRule>
  </conditionalFormatting>
  <conditionalFormatting sqref="BM12:BM16">
    <cfRule type="expression" dxfId="101" priority="461">
      <formula>AND(NOT(ISBLANK(E12)),NOT(ISBLANK(F12)),D12&gt;0,E12&lt;=BM$4,ROUNDDOWN((F12-E12+1)*D12,0)+E12-1&gt;=BM$4)</formula>
    </cfRule>
    <cfRule type="expression" dxfId="100" priority="462">
      <formula>AND(NOT(ISBLANK(E12)),NOT(ISBLANK(F12)),E12&lt;=BM$4,F12&gt;=BM$4)</formula>
    </cfRule>
  </conditionalFormatting>
  <conditionalFormatting sqref="BM18:BM22">
    <cfRule type="expression" dxfId="99" priority="463">
      <formula>AND(NOT(ISBLANK(E18)),NOT(ISBLANK(F18)),D18&gt;0,E18&lt;=BM$4,ROUNDDOWN((F18-E18+1)*D18,0)+E18-1&gt;=BM$4)</formula>
    </cfRule>
    <cfRule type="expression" dxfId="98" priority="464">
      <formula>AND(NOT(ISBLANK(E18)),NOT(ISBLANK(F18)),E18&lt;=BM$4,F18&gt;=BM$4)</formula>
    </cfRule>
  </conditionalFormatting>
  <conditionalFormatting sqref="BM24:BM28">
    <cfRule type="expression" dxfId="97" priority="465">
      <formula>AND(NOT(ISBLANK(E24)),NOT(ISBLANK(F24)),D24&gt;0,E24&lt;=BM$4,ROUNDDOWN((F24-E24+1)*D24,0)+E24-1&gt;=BM$4)</formula>
    </cfRule>
    <cfRule type="expression" dxfId="96" priority="466">
      <formula>AND(NOT(ISBLANK(E24)),NOT(ISBLANK(F24)),E24&lt;=BM$4,F24&gt;=BM$4)</formula>
    </cfRule>
  </conditionalFormatting>
  <conditionalFormatting sqref="BN6:BN10">
    <cfRule type="expression" dxfId="95" priority="467">
      <formula>AND(NOT(ISBLANK(E6)),NOT(ISBLANK(F6)),D6&gt;0,E6&lt;=BN$4,ROUNDDOWN((F6-E6+1)*D6,0)+E6-1&gt;=BN$4)</formula>
    </cfRule>
    <cfRule type="expression" dxfId="94" priority="468">
      <formula>AND(NOT(ISBLANK(E6)),NOT(ISBLANK(F6)),E6&lt;=BN$4,F6&gt;=BN$4)</formula>
    </cfRule>
  </conditionalFormatting>
  <conditionalFormatting sqref="BN12:BN16">
    <cfRule type="expression" dxfId="93" priority="469">
      <formula>AND(NOT(ISBLANK(E12)),NOT(ISBLANK(F12)),D12&gt;0,E12&lt;=BN$4,ROUNDDOWN((F12-E12+1)*D12,0)+E12-1&gt;=BN$4)</formula>
    </cfRule>
    <cfRule type="expression" dxfId="92" priority="470">
      <formula>AND(NOT(ISBLANK(E12)),NOT(ISBLANK(F12)),E12&lt;=BN$4,F12&gt;=BN$4)</formula>
    </cfRule>
  </conditionalFormatting>
  <conditionalFormatting sqref="BN18:BN22">
    <cfRule type="expression" dxfId="91" priority="471">
      <formula>AND(NOT(ISBLANK(E18)),NOT(ISBLANK(F18)),D18&gt;0,E18&lt;=BN$4,ROUNDDOWN((F18-E18+1)*D18,0)+E18-1&gt;=BN$4)</formula>
    </cfRule>
    <cfRule type="expression" dxfId="90" priority="472">
      <formula>AND(NOT(ISBLANK(E18)),NOT(ISBLANK(F18)),E18&lt;=BN$4,F18&gt;=BN$4)</formula>
    </cfRule>
  </conditionalFormatting>
  <conditionalFormatting sqref="BN24:BN28">
    <cfRule type="expression" dxfId="89" priority="473">
      <formula>AND(NOT(ISBLANK(E24)),NOT(ISBLANK(F24)),D24&gt;0,E24&lt;=BN$4,ROUNDDOWN((F24-E24+1)*D24,0)+E24-1&gt;=BN$4)</formula>
    </cfRule>
    <cfRule type="expression" dxfId="88" priority="474">
      <formula>AND(NOT(ISBLANK(E24)),NOT(ISBLANK(F24)),E24&lt;=BN$4,F24&gt;=BN$4)</formula>
    </cfRule>
  </conditionalFormatting>
  <conditionalFormatting sqref="BO6:BO10">
    <cfRule type="expression" dxfId="87" priority="475">
      <formula>AND(NOT(ISBLANK(E6)),NOT(ISBLANK(F6)),D6&gt;0,E6&lt;=BO$4,ROUNDDOWN((F6-E6+1)*D6,0)+E6-1&gt;=BO$4)</formula>
    </cfRule>
    <cfRule type="expression" dxfId="86" priority="476">
      <formula>AND(NOT(ISBLANK(E6)),NOT(ISBLANK(F6)),E6&lt;=BO$4,F6&gt;=BO$4)</formula>
    </cfRule>
  </conditionalFormatting>
  <conditionalFormatting sqref="BO12:BO16">
    <cfRule type="expression" dxfId="85" priority="477">
      <formula>AND(NOT(ISBLANK(E12)),NOT(ISBLANK(F12)),D12&gt;0,E12&lt;=BO$4,ROUNDDOWN((F12-E12+1)*D12,0)+E12-1&gt;=BO$4)</formula>
    </cfRule>
    <cfRule type="expression" dxfId="84" priority="478">
      <formula>AND(NOT(ISBLANK(E12)),NOT(ISBLANK(F12)),E12&lt;=BO$4,F12&gt;=BO$4)</formula>
    </cfRule>
  </conditionalFormatting>
  <conditionalFormatting sqref="BO18:BO22">
    <cfRule type="expression" dxfId="83" priority="479">
      <formula>AND(NOT(ISBLANK(E18)),NOT(ISBLANK(F18)),D18&gt;0,E18&lt;=BO$4,ROUNDDOWN((F18-E18+1)*D18,0)+E18-1&gt;=BO$4)</formula>
    </cfRule>
    <cfRule type="expression" dxfId="82" priority="480">
      <formula>AND(NOT(ISBLANK(E18)),NOT(ISBLANK(F18)),E18&lt;=BO$4,F18&gt;=BO$4)</formula>
    </cfRule>
  </conditionalFormatting>
  <conditionalFormatting sqref="BO24:BO28">
    <cfRule type="expression" dxfId="81" priority="481">
      <formula>AND(NOT(ISBLANK(E24)),NOT(ISBLANK(F24)),D24&gt;0,E24&lt;=BO$4,ROUNDDOWN((F24-E24+1)*D24,0)+E24-1&gt;=BO$4)</formula>
    </cfRule>
    <cfRule type="expression" dxfId="80" priority="482">
      <formula>AND(NOT(ISBLANK(E24)),NOT(ISBLANK(F24)),E24&lt;=BO$4,F24&gt;=BO$4)</formula>
    </cfRule>
  </conditionalFormatting>
  <conditionalFormatting sqref="BP6:BP10">
    <cfRule type="expression" dxfId="79" priority="483">
      <formula>AND(NOT(ISBLANK(E6)),NOT(ISBLANK(F6)),D6&gt;0,E6&lt;=BP$4,ROUNDDOWN((F6-E6+1)*D6,0)+E6-1&gt;=BP$4)</formula>
    </cfRule>
    <cfRule type="expression" dxfId="78" priority="484">
      <formula>AND(NOT(ISBLANK(E6)),NOT(ISBLANK(F6)),E6&lt;=BP$4,F6&gt;=BP$4)</formula>
    </cfRule>
  </conditionalFormatting>
  <conditionalFormatting sqref="BP12:BP16">
    <cfRule type="expression" dxfId="77" priority="485">
      <formula>AND(NOT(ISBLANK(E12)),NOT(ISBLANK(F12)),D12&gt;0,E12&lt;=BP$4,ROUNDDOWN((F12-E12+1)*D12,0)+E12-1&gt;=BP$4)</formula>
    </cfRule>
    <cfRule type="expression" dxfId="76" priority="486">
      <formula>AND(NOT(ISBLANK(E12)),NOT(ISBLANK(F12)),E12&lt;=BP$4,F12&gt;=BP$4)</formula>
    </cfRule>
  </conditionalFormatting>
  <conditionalFormatting sqref="BP18:BP22">
    <cfRule type="expression" dxfId="75" priority="487">
      <formula>AND(NOT(ISBLANK(E18)),NOT(ISBLANK(F18)),D18&gt;0,E18&lt;=BP$4,ROUNDDOWN((F18-E18+1)*D18,0)+E18-1&gt;=BP$4)</formula>
    </cfRule>
    <cfRule type="expression" dxfId="74" priority="488">
      <formula>AND(NOT(ISBLANK(E18)),NOT(ISBLANK(F18)),E18&lt;=BP$4,F18&gt;=BP$4)</formula>
    </cfRule>
  </conditionalFormatting>
  <conditionalFormatting sqref="BP24:BP28">
    <cfRule type="expression" dxfId="73" priority="489">
      <formula>AND(NOT(ISBLANK(E24)),NOT(ISBLANK(F24)),D24&gt;0,E24&lt;=BP$4,ROUNDDOWN((F24-E24+1)*D24,0)+E24-1&gt;=BP$4)</formula>
    </cfRule>
    <cfRule type="expression" dxfId="72" priority="490">
      <formula>AND(NOT(ISBLANK(E24)),NOT(ISBLANK(F24)),E24&lt;=BP$4,F24&gt;=BP$4)</formula>
    </cfRule>
  </conditionalFormatting>
  <conditionalFormatting sqref="BQ6:BQ10">
    <cfRule type="expression" dxfId="71" priority="491">
      <formula>AND(NOT(ISBLANK(E6)),NOT(ISBLANK(F6)),D6&gt;0,E6&lt;=BQ$4,ROUNDDOWN((F6-E6+1)*D6,0)+E6-1&gt;=BQ$4)</formula>
    </cfRule>
    <cfRule type="expression" dxfId="70" priority="492">
      <formula>AND(NOT(ISBLANK(E6)),NOT(ISBLANK(F6)),E6&lt;=BQ$4,F6&gt;=BQ$4)</formula>
    </cfRule>
  </conditionalFormatting>
  <conditionalFormatting sqref="BQ12:BQ16">
    <cfRule type="expression" dxfId="69" priority="493">
      <formula>AND(NOT(ISBLANK(E12)),NOT(ISBLANK(F12)),D12&gt;0,E12&lt;=BQ$4,ROUNDDOWN((F12-E12+1)*D12,0)+E12-1&gt;=BQ$4)</formula>
    </cfRule>
    <cfRule type="expression" dxfId="68" priority="494">
      <formula>AND(NOT(ISBLANK(E12)),NOT(ISBLANK(F12)),E12&lt;=BQ$4,F12&gt;=BQ$4)</formula>
    </cfRule>
  </conditionalFormatting>
  <conditionalFormatting sqref="BQ18:BQ22">
    <cfRule type="expression" dxfId="67" priority="495">
      <formula>AND(NOT(ISBLANK(E18)),NOT(ISBLANK(F18)),D18&gt;0,E18&lt;=BQ$4,ROUNDDOWN((F18-E18+1)*D18,0)+E18-1&gt;=BQ$4)</formula>
    </cfRule>
    <cfRule type="expression" dxfId="66" priority="496">
      <formula>AND(NOT(ISBLANK(E18)),NOT(ISBLANK(F18)),E18&lt;=BQ$4,F18&gt;=BQ$4)</formula>
    </cfRule>
  </conditionalFormatting>
  <conditionalFormatting sqref="BQ24:BQ28">
    <cfRule type="expression" dxfId="65" priority="497">
      <formula>AND(NOT(ISBLANK(E24)),NOT(ISBLANK(F24)),D24&gt;0,E24&lt;=BQ$4,ROUNDDOWN((F24-E24+1)*D24,0)+E24-1&gt;=BQ$4)</formula>
    </cfRule>
    <cfRule type="expression" dxfId="64" priority="498">
      <formula>AND(NOT(ISBLANK(E24)),NOT(ISBLANK(F24)),E24&lt;=BQ$4,F24&gt;=BQ$4)</formula>
    </cfRule>
  </conditionalFormatting>
  <conditionalFormatting sqref="BR6:BR10">
    <cfRule type="expression" dxfId="63" priority="500">
      <formula>AND(NOT(ISBLANK(E6)),NOT(ISBLANK(F6)),E6&lt;=BR$4,F6&gt;=BR$4)</formula>
    </cfRule>
    <cfRule type="expression" dxfId="62" priority="499">
      <formula>AND(NOT(ISBLANK(E6)),NOT(ISBLANK(F6)),D6&gt;0,E6&lt;=BR$4,ROUNDDOWN((F6-E6+1)*D6,0)+E6-1&gt;=BR$4)</formula>
    </cfRule>
  </conditionalFormatting>
  <conditionalFormatting sqref="BR12:BR16">
    <cfRule type="expression" dxfId="61" priority="502">
      <formula>AND(NOT(ISBLANK(E12)),NOT(ISBLANK(F12)),E12&lt;=BR$4,F12&gt;=BR$4)</formula>
    </cfRule>
    <cfRule type="expression" dxfId="60" priority="501">
      <formula>AND(NOT(ISBLANK(E12)),NOT(ISBLANK(F12)),D12&gt;0,E12&lt;=BR$4,ROUNDDOWN((F12-E12+1)*D12,0)+E12-1&gt;=BR$4)</formula>
    </cfRule>
  </conditionalFormatting>
  <conditionalFormatting sqref="BR18:BR22">
    <cfRule type="expression" dxfId="59" priority="503">
      <formula>AND(NOT(ISBLANK(E18)),NOT(ISBLANK(F18)),D18&gt;0,E18&lt;=BR$4,ROUNDDOWN((F18-E18+1)*D18,0)+E18-1&gt;=BR$4)</formula>
    </cfRule>
    <cfRule type="expression" dxfId="58" priority="504">
      <formula>AND(NOT(ISBLANK(E18)),NOT(ISBLANK(F18)),E18&lt;=BR$4,F18&gt;=BR$4)</formula>
    </cfRule>
  </conditionalFormatting>
  <conditionalFormatting sqref="BR24:BR28">
    <cfRule type="expression" dxfId="57" priority="505">
      <formula>AND(NOT(ISBLANK(E24)),NOT(ISBLANK(F24)),D24&gt;0,E24&lt;=BR$4,ROUNDDOWN((F24-E24+1)*D24,0)+E24-1&gt;=BR$4)</formula>
    </cfRule>
    <cfRule type="expression" dxfId="56" priority="506">
      <formula>AND(NOT(ISBLANK(E24)),NOT(ISBLANK(F24)),E24&lt;=BR$4,F24&gt;=BR$4)</formula>
    </cfRule>
  </conditionalFormatting>
  <conditionalFormatting sqref="BS6:BS10">
    <cfRule type="expression" dxfId="55" priority="507">
      <formula>AND(NOT(ISBLANK(E6)),NOT(ISBLANK(F6)),D6&gt;0,E6&lt;=BS$4,ROUNDDOWN((F6-E6+1)*D6,0)+E6-1&gt;=BS$4)</formula>
    </cfRule>
    <cfRule type="expression" dxfId="54" priority="508">
      <formula>AND(NOT(ISBLANK(E6)),NOT(ISBLANK(F6)),E6&lt;=BS$4,F6&gt;=BS$4)</formula>
    </cfRule>
  </conditionalFormatting>
  <conditionalFormatting sqref="BS12:BS16">
    <cfRule type="expression" dxfId="53" priority="509">
      <formula>AND(NOT(ISBLANK(E12)),NOT(ISBLANK(F12)),D12&gt;0,E12&lt;=BS$4,ROUNDDOWN((F12-E12+1)*D12,0)+E12-1&gt;=BS$4)</formula>
    </cfRule>
    <cfRule type="expression" dxfId="52" priority="510">
      <formula>AND(NOT(ISBLANK(E12)),NOT(ISBLANK(F12)),E12&lt;=BS$4,F12&gt;=BS$4)</formula>
    </cfRule>
  </conditionalFormatting>
  <conditionalFormatting sqref="BS18:BS22">
    <cfRule type="expression" dxfId="51" priority="511">
      <formula>AND(NOT(ISBLANK(E18)),NOT(ISBLANK(F18)),D18&gt;0,E18&lt;=BS$4,ROUNDDOWN((F18-E18+1)*D18,0)+E18-1&gt;=BS$4)</formula>
    </cfRule>
    <cfRule type="expression" dxfId="50" priority="512">
      <formula>AND(NOT(ISBLANK(E18)),NOT(ISBLANK(F18)),E18&lt;=BS$4,F18&gt;=BS$4)</formula>
    </cfRule>
  </conditionalFormatting>
  <conditionalFormatting sqref="BS24:BS28">
    <cfRule type="expression" dxfId="49" priority="513">
      <formula>AND(NOT(ISBLANK(E24)),NOT(ISBLANK(F24)),D24&gt;0,E24&lt;=BS$4,ROUNDDOWN((F24-E24+1)*D24,0)+E24-1&gt;=BS$4)</formula>
    </cfRule>
    <cfRule type="expression" dxfId="48" priority="514">
      <formula>AND(NOT(ISBLANK(E24)),NOT(ISBLANK(F24)),E24&lt;=BS$4,F24&gt;=BS$4)</formula>
    </cfRule>
  </conditionalFormatting>
  <conditionalFormatting sqref="BT6:BT10">
    <cfRule type="expression" dxfId="47" priority="515">
      <formula>AND(NOT(ISBLANK(E6)),NOT(ISBLANK(F6)),D6&gt;0,E6&lt;=BT$4,ROUNDDOWN((F6-E6+1)*D6,0)+E6-1&gt;=BT$4)</formula>
    </cfRule>
    <cfRule type="expression" dxfId="46" priority="516">
      <formula>AND(NOT(ISBLANK(E6)),NOT(ISBLANK(F6)),E6&lt;=BT$4,F6&gt;=BT$4)</formula>
    </cfRule>
  </conditionalFormatting>
  <conditionalFormatting sqref="BT12:BT16">
    <cfRule type="expression" dxfId="45" priority="517">
      <formula>AND(NOT(ISBLANK(E12)),NOT(ISBLANK(F12)),D12&gt;0,E12&lt;=BT$4,ROUNDDOWN((F12-E12+1)*D12,0)+E12-1&gt;=BT$4)</formula>
    </cfRule>
    <cfRule type="expression" dxfId="44" priority="518">
      <formula>AND(NOT(ISBLANK(E12)),NOT(ISBLANK(F12)),E12&lt;=BT$4,F12&gt;=BT$4)</formula>
    </cfRule>
  </conditionalFormatting>
  <conditionalFormatting sqref="BT18:BT22">
    <cfRule type="expression" dxfId="43" priority="519">
      <formula>AND(NOT(ISBLANK(E18)),NOT(ISBLANK(F18)),D18&gt;0,E18&lt;=BT$4,ROUNDDOWN((F18-E18+1)*D18,0)+E18-1&gt;=BT$4)</formula>
    </cfRule>
    <cfRule type="expression" dxfId="42" priority="520">
      <formula>AND(NOT(ISBLANK(E18)),NOT(ISBLANK(F18)),E18&lt;=BT$4,F18&gt;=BT$4)</formula>
    </cfRule>
  </conditionalFormatting>
  <conditionalFormatting sqref="BT24:BT28">
    <cfRule type="expression" dxfId="41" priority="521">
      <formula>AND(NOT(ISBLANK(E24)),NOT(ISBLANK(F24)),D24&gt;0,E24&lt;=BT$4,ROUNDDOWN((F24-E24+1)*D24,0)+E24-1&gt;=BT$4)</formula>
    </cfRule>
    <cfRule type="expression" dxfId="40" priority="522">
      <formula>AND(NOT(ISBLANK(E24)),NOT(ISBLANK(F24)),E24&lt;=BT$4,F24&gt;=BT$4)</formula>
    </cfRule>
  </conditionalFormatting>
  <conditionalFormatting sqref="BU6:BU10">
    <cfRule type="expression" dxfId="39" priority="523">
      <formula>AND(NOT(ISBLANK(E6)),NOT(ISBLANK(F6)),D6&gt;0,E6&lt;=BU$4,ROUNDDOWN((F6-E6+1)*D6,0)+E6-1&gt;=BU$4)</formula>
    </cfRule>
    <cfRule type="expression" dxfId="38" priority="524">
      <formula>AND(NOT(ISBLANK(E6)),NOT(ISBLANK(F6)),E6&lt;=BU$4,F6&gt;=BU$4)</formula>
    </cfRule>
  </conditionalFormatting>
  <conditionalFormatting sqref="BU12:BU16">
    <cfRule type="expression" dxfId="37" priority="525">
      <formula>AND(NOT(ISBLANK(E12)),NOT(ISBLANK(F12)),D12&gt;0,E12&lt;=BU$4,ROUNDDOWN((F12-E12+1)*D12,0)+E12-1&gt;=BU$4)</formula>
    </cfRule>
    <cfRule type="expression" dxfId="36" priority="526">
      <formula>AND(NOT(ISBLANK(E12)),NOT(ISBLANK(F12)),E12&lt;=BU$4,F12&gt;=BU$4)</formula>
    </cfRule>
  </conditionalFormatting>
  <conditionalFormatting sqref="BU18:BU22">
    <cfRule type="expression" dxfId="35" priority="527">
      <formula>AND(NOT(ISBLANK(E18)),NOT(ISBLANK(F18)),D18&gt;0,E18&lt;=BU$4,ROUNDDOWN((F18-E18+1)*D18,0)+E18-1&gt;=BU$4)</formula>
    </cfRule>
    <cfRule type="expression" dxfId="34" priority="528">
      <formula>AND(NOT(ISBLANK(E18)),NOT(ISBLANK(F18)),E18&lt;=BU$4,F18&gt;=BU$4)</formula>
    </cfRule>
  </conditionalFormatting>
  <conditionalFormatting sqref="BU24:BU28">
    <cfRule type="expression" dxfId="33" priority="529">
      <formula>AND(NOT(ISBLANK(E24)),NOT(ISBLANK(F24)),D24&gt;0,E24&lt;=BU$4,ROUNDDOWN((F24-E24+1)*D24,0)+E24-1&gt;=BU$4)</formula>
    </cfRule>
    <cfRule type="expression" dxfId="32" priority="530">
      <formula>AND(NOT(ISBLANK(E24)),NOT(ISBLANK(F24)),E24&lt;=BU$4,F24&gt;=BU$4)</formula>
    </cfRule>
  </conditionalFormatting>
  <conditionalFormatting sqref="BV6:BV10">
    <cfRule type="expression" dxfId="31" priority="531">
      <formula>AND(NOT(ISBLANK(E6)),NOT(ISBLANK(F6)),D6&gt;0,E6&lt;=BV$4,ROUNDDOWN((F6-E6+1)*D6,0)+E6-1&gt;=BV$4)</formula>
    </cfRule>
    <cfRule type="expression" dxfId="30" priority="532">
      <formula>AND(NOT(ISBLANK(E6)),NOT(ISBLANK(F6)),E6&lt;=BV$4,F6&gt;=BV$4)</formula>
    </cfRule>
  </conditionalFormatting>
  <conditionalFormatting sqref="BV12:BV16">
    <cfRule type="expression" dxfId="29" priority="533">
      <formula>AND(NOT(ISBLANK(E12)),NOT(ISBLANK(F12)),D12&gt;0,E12&lt;=BV$4,ROUNDDOWN((F12-E12+1)*D12,0)+E12-1&gt;=BV$4)</formula>
    </cfRule>
    <cfRule type="expression" dxfId="28" priority="534">
      <formula>AND(NOT(ISBLANK(E12)),NOT(ISBLANK(F12)),E12&lt;=BV$4,F12&gt;=BV$4)</formula>
    </cfRule>
  </conditionalFormatting>
  <conditionalFormatting sqref="BV18:BV22">
    <cfRule type="expression" dxfId="27" priority="535">
      <formula>AND(NOT(ISBLANK(E18)),NOT(ISBLANK(F18)),D18&gt;0,E18&lt;=BV$4,ROUNDDOWN((F18-E18+1)*D18,0)+E18-1&gt;=BV$4)</formula>
    </cfRule>
    <cfRule type="expression" dxfId="26" priority="536">
      <formula>AND(NOT(ISBLANK(E18)),NOT(ISBLANK(F18)),E18&lt;=BV$4,F18&gt;=BV$4)</formula>
    </cfRule>
  </conditionalFormatting>
  <conditionalFormatting sqref="BV24:BV28">
    <cfRule type="expression" dxfId="25" priority="537">
      <formula>AND(NOT(ISBLANK(E24)),NOT(ISBLANK(F24)),D24&gt;0,E24&lt;=BV$4,ROUNDDOWN((F24-E24+1)*D24,0)+E24-1&gt;=BV$4)</formula>
    </cfRule>
    <cfRule type="expression" dxfId="24" priority="538">
      <formula>AND(NOT(ISBLANK(E24)),NOT(ISBLANK(F24)),E24&lt;=BV$4,F24&gt;=BV$4)</formula>
    </cfRule>
  </conditionalFormatting>
  <conditionalFormatting sqref="BW6:BW10">
    <cfRule type="expression" dxfId="23" priority="539">
      <formula>AND(NOT(ISBLANK(E6)),NOT(ISBLANK(F6)),D6&gt;0,E6&lt;=BW$4,ROUNDDOWN((F6-E6+1)*D6,0)+E6-1&gt;=BW$4)</formula>
    </cfRule>
    <cfRule type="expression" dxfId="22" priority="540">
      <formula>AND(NOT(ISBLANK(E6)),NOT(ISBLANK(F6)),E6&lt;=BW$4,F6&gt;=BW$4)</formula>
    </cfRule>
  </conditionalFormatting>
  <conditionalFormatting sqref="BW12:BW16">
    <cfRule type="expression" dxfId="21" priority="541">
      <formula>AND(NOT(ISBLANK(E12)),NOT(ISBLANK(F12)),D12&gt;0,E12&lt;=BW$4,ROUNDDOWN((F12-E12+1)*D12,0)+E12-1&gt;=BW$4)</formula>
    </cfRule>
    <cfRule type="expression" dxfId="20" priority="542">
      <formula>AND(NOT(ISBLANK(E12)),NOT(ISBLANK(F12)),E12&lt;=BW$4,F12&gt;=BW$4)</formula>
    </cfRule>
  </conditionalFormatting>
  <conditionalFormatting sqref="BW18:BW22">
    <cfRule type="expression" dxfId="19" priority="543">
      <formula>AND(NOT(ISBLANK(E18)),NOT(ISBLANK(F18)),D18&gt;0,E18&lt;=BW$4,ROUNDDOWN((F18-E18+1)*D18,0)+E18-1&gt;=BW$4)</formula>
    </cfRule>
    <cfRule type="expression" dxfId="18" priority="544">
      <formula>AND(NOT(ISBLANK(E18)),NOT(ISBLANK(F18)),E18&lt;=BW$4,F18&gt;=BW$4)</formula>
    </cfRule>
  </conditionalFormatting>
  <conditionalFormatting sqref="BW24:BW28">
    <cfRule type="expression" dxfId="17" priority="545">
      <formula>AND(NOT(ISBLANK(E24)),NOT(ISBLANK(F24)),D24&gt;0,E24&lt;=BW$4,ROUNDDOWN((F24-E24+1)*D24,0)+E24-1&gt;=BW$4)</formula>
    </cfRule>
    <cfRule type="expression" dxfId="16" priority="546">
      <formula>AND(NOT(ISBLANK(E24)),NOT(ISBLANK(F24)),E24&lt;=BW$4,F24&gt;=BW$4)</formula>
    </cfRule>
  </conditionalFormatting>
  <conditionalFormatting sqref="BX6:BX10">
    <cfRule type="expression" dxfId="15" priority="548">
      <formula>AND(NOT(ISBLANK(E6)),NOT(ISBLANK(F6)),E6&lt;=BX$4,F6&gt;=BX$4)</formula>
    </cfRule>
    <cfRule type="expression" dxfId="14" priority="547">
      <formula>AND(NOT(ISBLANK(E6)),NOT(ISBLANK(F6)),D6&gt;0,E6&lt;=BX$4,ROUNDDOWN((F6-E6+1)*D6,0)+E6-1&gt;=BX$4)</formula>
    </cfRule>
  </conditionalFormatting>
  <conditionalFormatting sqref="BX12:BX16">
    <cfRule type="expression" dxfId="13" priority="549">
      <formula>AND(NOT(ISBLANK(E12)),NOT(ISBLANK(F12)),D12&gt;0,E12&lt;=BX$4,ROUNDDOWN((F12-E12+1)*D12,0)+E12-1&gt;=BX$4)</formula>
    </cfRule>
    <cfRule type="expression" dxfId="12" priority="550">
      <formula>AND(NOT(ISBLANK(E12)),NOT(ISBLANK(F12)),E12&lt;=BX$4,F12&gt;=BX$4)</formula>
    </cfRule>
  </conditionalFormatting>
  <conditionalFormatting sqref="BX18:BX22">
    <cfRule type="expression" dxfId="11" priority="551">
      <formula>AND(NOT(ISBLANK(E18)),NOT(ISBLANK(F18)),D18&gt;0,E18&lt;=BX$4,ROUNDDOWN((F18-E18+1)*D18,0)+E18-1&gt;=BX$4)</formula>
    </cfRule>
    <cfRule type="expression" dxfId="10" priority="552">
      <formula>AND(NOT(ISBLANK(E18)),NOT(ISBLANK(F18)),E18&lt;=BX$4,F18&gt;=BX$4)</formula>
    </cfRule>
  </conditionalFormatting>
  <conditionalFormatting sqref="BX24:BX28">
    <cfRule type="expression" dxfId="9" priority="553">
      <formula>AND(NOT(ISBLANK(E24)),NOT(ISBLANK(F24)),D24&gt;0,E24&lt;=BX$4,ROUNDDOWN((F24-E24+1)*D24,0)+E24-1&gt;=BX$4)</formula>
    </cfRule>
    <cfRule type="expression" dxfId="8" priority="554">
      <formula>AND(NOT(ISBLANK(E24)),NOT(ISBLANK(F24)),E24&lt;=BX$4,F24&gt;=BX$4)</formula>
    </cfRule>
  </conditionalFormatting>
  <conditionalFormatting sqref="BY6:BY10">
    <cfRule type="expression" dxfId="7" priority="555">
      <formula>AND(NOT(ISBLANK(E6)),NOT(ISBLANK(F6)),D6&gt;0,E6&lt;=BY$4,ROUNDDOWN((F6-E6+1)*D6,0)+E6-1&gt;=BY$4)</formula>
    </cfRule>
    <cfRule type="expression" dxfId="6" priority="556">
      <formula>AND(NOT(ISBLANK(E6)),NOT(ISBLANK(F6)),E6&lt;=BY$4,F6&gt;=BY$4)</formula>
    </cfRule>
  </conditionalFormatting>
  <conditionalFormatting sqref="BY12:BY16">
    <cfRule type="expression" dxfId="5" priority="557">
      <formula>AND(NOT(ISBLANK(E12)),NOT(ISBLANK(F12)),D12&gt;0,E12&lt;=BY$4,ROUNDDOWN((F12-E12+1)*D12,0)+E12-1&gt;=BY$4)</formula>
    </cfRule>
    <cfRule type="expression" dxfId="4" priority="558">
      <formula>AND(NOT(ISBLANK(E12)),NOT(ISBLANK(F12)),E12&lt;=BY$4,F12&gt;=BY$4)</formula>
    </cfRule>
  </conditionalFormatting>
  <conditionalFormatting sqref="BY18:BY22">
    <cfRule type="expression" dxfId="3" priority="559">
      <formula>AND(NOT(ISBLANK(E18)),NOT(ISBLANK(F18)),D18&gt;0,E18&lt;=BY$4,ROUNDDOWN((F18-E18+1)*D18,0)+E18-1&gt;=BY$4)</formula>
    </cfRule>
    <cfRule type="expression" dxfId="2" priority="560">
      <formula>AND(NOT(ISBLANK(E18)),NOT(ISBLANK(F18)),E18&lt;=BY$4,F18&gt;=BY$4)</formula>
    </cfRule>
  </conditionalFormatting>
  <conditionalFormatting sqref="BY24:BY28">
    <cfRule type="expression" dxfId="1" priority="561">
      <formula>AND(NOT(ISBLANK(E24)),NOT(ISBLANK(F24)),D24&gt;0,E24&lt;=BY$4,ROUNDDOWN((F24-E24+1)*D24,0)+E24-1&gt;=BY$4)</formula>
    </cfRule>
    <cfRule type="expression" dxfId="0" priority="562">
      <formula>AND(NOT(ISBLANK(E24)),NOT(ISBLANK(F24)),E24&lt;=BY$4,F24&gt;=BY$4)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zoomScaleNormal="100" workbookViewId="0"/>
  </sheetViews>
  <sheetFormatPr defaultColWidth="14.44140625" defaultRowHeight="14.4" x14ac:dyDescent="0.3"/>
  <cols>
    <col min="1" max="1" width="80" customWidth="1"/>
    <col min="2" max="26" width="8.6640625" customWidth="1"/>
  </cols>
  <sheetData>
    <row r="1" spans="1:1" ht="14.25" customHeight="1" x14ac:dyDescent="0.3">
      <c r="A1" s="29" t="s">
        <v>33</v>
      </c>
    </row>
    <row r="2" spans="1:1" ht="14.25" customHeight="1" x14ac:dyDescent="0.3">
      <c r="A2" s="30"/>
    </row>
    <row r="3" spans="1:1" ht="14.25" customHeight="1" x14ac:dyDescent="0.3">
      <c r="A3" s="30" t="s">
        <v>34</v>
      </c>
    </row>
    <row r="4" spans="1:1" ht="14.25" customHeight="1" x14ac:dyDescent="0.3">
      <c r="A4" s="30" t="s">
        <v>35</v>
      </c>
    </row>
    <row r="5" spans="1:1" ht="14.25" customHeight="1" x14ac:dyDescent="0.3">
      <c r="A5" s="30" t="s">
        <v>36</v>
      </c>
    </row>
    <row r="6" spans="1:1" ht="14.25" customHeight="1" x14ac:dyDescent="0.3">
      <c r="A6" s="30" t="s">
        <v>37</v>
      </c>
    </row>
    <row r="7" spans="1:1" ht="14.25" customHeight="1" x14ac:dyDescent="0.3">
      <c r="A7" s="30" t="s">
        <v>38</v>
      </c>
    </row>
    <row r="8" spans="1:1" ht="14.25" customHeight="1" x14ac:dyDescent="0.3">
      <c r="A8" s="30" t="s">
        <v>39</v>
      </c>
    </row>
    <row r="9" spans="1:1" ht="14.25" customHeight="1" x14ac:dyDescent="0.3">
      <c r="A9" s="30" t="s">
        <v>40</v>
      </c>
    </row>
    <row r="10" spans="1:1" ht="14.25" customHeight="1" x14ac:dyDescent="0.3">
      <c r="A10" s="30" t="s">
        <v>41</v>
      </c>
    </row>
    <row r="11" spans="1:1" ht="14.25" customHeight="1" x14ac:dyDescent="0.3">
      <c r="A11" s="30" t="s">
        <v>42</v>
      </c>
    </row>
    <row r="12" spans="1:1" ht="14.25" customHeight="1" x14ac:dyDescent="0.3">
      <c r="A12" s="30"/>
    </row>
    <row r="13" spans="1:1" ht="14.25" customHeight="1" x14ac:dyDescent="0.3">
      <c r="A13" s="31" t="s">
        <v>43</v>
      </c>
    </row>
    <row r="14" spans="1:1" ht="14.25" customHeight="1" x14ac:dyDescent="0.3"/>
    <row r="15" spans="1:1" ht="14.25" customHeight="1" x14ac:dyDescent="0.3">
      <c r="A15" t="s">
        <v>44</v>
      </c>
    </row>
    <row r="16" spans="1:1" ht="14.25" customHeight="1" x14ac:dyDescent="0.3">
      <c r="A16" t="s">
        <v>45</v>
      </c>
    </row>
    <row r="17" spans="1:1" ht="14.25" customHeight="1" x14ac:dyDescent="0.3">
      <c r="A17" t="s">
        <v>46</v>
      </c>
    </row>
    <row r="18" spans="1:1" ht="14.25" customHeight="1" x14ac:dyDescent="0.3"/>
    <row r="19" spans="1:1" ht="14.25" customHeight="1" x14ac:dyDescent="0.3"/>
    <row r="20" spans="1:1" ht="14.25" customHeight="1" x14ac:dyDescent="0.3"/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GANTT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Cristiano De Pasquale</cp:lastModifiedBy>
  <cp:revision>0</cp:revision>
  <dcterms:created xsi:type="dcterms:W3CDTF">2026-05-24T22:00:12Z</dcterms:created>
  <dcterms:modified xsi:type="dcterms:W3CDTF">2026-06-18T20:37:28Z</dcterms:modified>
  <dc:language>en-US</dc:language>
</cp:coreProperties>
</file>