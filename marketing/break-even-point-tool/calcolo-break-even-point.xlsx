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inzi\Downloads\"/>
    </mc:Choice>
  </mc:AlternateContent>
  <xr:revisionPtr revIDLastSave="0" documentId="13_ncr:1_{FC4EA81C-82B0-44CC-8FFD-8B2D4A06B33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EP" sheetId="1" r:id="rId1"/>
    <sheet name="Istruzioni" sheetId="2" r:id="rId2"/>
    <sheet name="Parametri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2" i="1" l="1"/>
  <c r="C43" i="1" s="1"/>
  <c r="C8" i="1"/>
  <c r="C12" i="1" s="1"/>
  <c r="C20" i="1" l="1"/>
  <c r="C22" i="1" s="1"/>
  <c r="C30" i="1" s="1"/>
  <c r="D43" i="1"/>
  <c r="G43" i="1" s="1"/>
  <c r="D42" i="1"/>
  <c r="G42" i="1" s="1"/>
  <c r="C41" i="1"/>
  <c r="D41" i="1" s="1"/>
  <c r="G41" i="1" s="1"/>
  <c r="C28" i="1" l="1"/>
  <c r="C29" i="1"/>
  <c r="C34" i="1"/>
  <c r="C26" i="1"/>
  <c r="C31" i="1"/>
  <c r="F30" i="1"/>
  <c r="C33" i="1"/>
  <c r="E30" i="1"/>
  <c r="G30" i="1" s="1"/>
  <c r="D30" i="1"/>
  <c r="H30" i="1" s="1"/>
  <c r="C27" i="1"/>
  <c r="C32" i="1"/>
  <c r="F32" i="1" l="1"/>
  <c r="E32" i="1"/>
  <c r="G32" i="1" s="1"/>
  <c r="D32" i="1"/>
  <c r="H32" i="1" s="1"/>
  <c r="F27" i="1"/>
  <c r="E27" i="1"/>
  <c r="G27" i="1" s="1"/>
  <c r="D27" i="1"/>
  <c r="H27" i="1" s="1"/>
  <c r="F29" i="1"/>
  <c r="E29" i="1"/>
  <c r="D29" i="1"/>
  <c r="E33" i="1"/>
  <c r="F33" i="1"/>
  <c r="D33" i="1"/>
  <c r="F31" i="1"/>
  <c r="E31" i="1"/>
  <c r="G31" i="1" s="1"/>
  <c r="D31" i="1"/>
  <c r="H31" i="1" s="1"/>
  <c r="E26" i="1"/>
  <c r="G26" i="1" s="1"/>
  <c r="D26" i="1"/>
  <c r="F26" i="1"/>
  <c r="E34" i="1"/>
  <c r="D34" i="1"/>
  <c r="F34" i="1"/>
  <c r="F28" i="1"/>
  <c r="E28" i="1"/>
  <c r="G28" i="1" s="1"/>
  <c r="D28" i="1"/>
  <c r="H28" i="1" s="1"/>
  <c r="G29" i="1" l="1"/>
  <c r="H29" i="1" s="1"/>
  <c r="G33" i="1"/>
  <c r="H33" i="1" s="1"/>
  <c r="G34" i="1"/>
  <c r="H34" i="1" s="1"/>
  <c r="H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Cristiano De Pasquale</author>
    <author>Unknown Author</author>
  </authors>
  <commentList>
    <comment ref="B2" authorId="0" shapeId="0" xr:uid="{B43C85BC-801A-4374-A034-78AEDFBAD55D}">
      <text>
        <r>
          <rPr>
            <b/>
            <sz val="9"/>
            <color indexed="81"/>
            <rFont val="Tahoma"/>
            <family val="2"/>
          </rPr>
          <t xml:space="preserve">Costi variabili unitari:
</t>
        </r>
        <r>
          <rPr>
            <sz val="9"/>
            <color indexed="81"/>
            <rFont val="Tahoma"/>
            <family val="2"/>
          </rPr>
          <t xml:space="preserve">In questa sezione vanno inserite le voci di costo (fino a 5 distinte, personalizzabili) che vanno a costituire il corso di produzione unitario del bene/servizio
</t>
        </r>
      </text>
    </comment>
    <comment ref="C10" authorId="1" shapeId="0" xr:uid="{00000000-0006-0000-0000-000006000000}">
      <text>
        <r>
          <rPr>
            <b/>
            <sz val="10"/>
            <color indexed="81"/>
            <rFont val="Arial"/>
            <family val="2"/>
          </rPr>
          <t>Prezzo di vendita unitario</t>
        </r>
        <r>
          <rPr>
            <sz val="10"/>
            <rFont val="Arial"/>
            <family val="2"/>
          </rPr>
          <t xml:space="preserve">
Prezzo a cui vendi ogni singola unità al cliente finale. È il ricavo che ottieni per ogni pezzo venduto.
Assicurati che sia superiore ai costi variabili unitari (C8), altrimenti il margine di contribuzione è negativo.</t>
        </r>
      </text>
    </comment>
    <comment ref="C14" authorId="1" shapeId="0" xr:uid="{00000000-0006-0000-0000-000007000000}">
      <text>
        <r>
          <rPr>
            <b/>
            <sz val="10"/>
            <color indexed="81"/>
            <rFont val="Arial"/>
            <family val="2"/>
          </rPr>
          <t>Costi fissi iniziali</t>
        </r>
        <r>
          <rPr>
            <sz val="10"/>
            <rFont val="Arial"/>
            <family val="2"/>
          </rPr>
          <t xml:space="preserve">
Investimento iniziale totale da ammortizzare: macchinari, attrezzature, allestimento locale, licenze, ecc.
Sono costi che non variano con la quantità prodotta.</t>
        </r>
      </text>
    </comment>
    <comment ref="C16" authorId="1" shapeId="0" xr:uid="{00000000-0006-0000-0000-000008000000}">
      <text>
        <r>
          <rPr>
            <b/>
            <sz val="10"/>
            <color indexed="81"/>
            <rFont val="Arial"/>
            <family val="2"/>
          </rPr>
          <t>Costi fissi mensili</t>
        </r>
        <r>
          <rPr>
            <sz val="10"/>
            <rFont val="Arial"/>
            <family val="2"/>
          </rPr>
          <t xml:space="preserve">
Costi fissi che si ripetono ogni mese: stipendi, affitto, utenze, abbonamenti software, leasing, ecc.
Non dipendono da quante unità vengono prodotte o vendute.</t>
        </r>
      </text>
    </comment>
    <comment ref="C18" authorId="1" shapeId="0" xr:uid="{00000000-0006-0000-0000-000009000000}">
      <text>
        <r>
          <rPr>
            <b/>
            <sz val="10"/>
            <color indexed="81"/>
            <rFont val="Arial"/>
            <family val="2"/>
          </rPr>
          <t>Vendite medie mensili</t>
        </r>
        <r>
          <rPr>
            <sz val="10"/>
            <rFont val="Arial"/>
            <family val="2"/>
          </rPr>
          <t xml:space="preserve">
Stima del numero di unità che si prevede di vendere ogni mese in condizioni normali.
Usato per calcolare il margine di contribuzione effettivo e il payback period.</t>
        </r>
      </text>
    </comment>
    <comment ref="C38" authorId="1" shapeId="0" xr:uid="{00000000-0006-0000-0000-00000A000000}">
      <text>
        <r>
          <rPr>
            <b/>
            <sz val="10"/>
            <color indexed="81"/>
            <rFont val="Arial"/>
            <family val="2"/>
          </rPr>
          <t>Coefficiente di variabilità</t>
        </r>
        <r>
          <rPr>
            <sz val="10"/>
            <rFont val="Arial"/>
            <family val="2"/>
          </rPr>
          <t xml:space="preserve">
Percentuale di variazione applicata alle vendite per simulare i 3 scenari del payback period.
Es: 0.15 = ±15% rispetto alle vendite medie mensili (C18).
Caso peggiore = C18 − 15% · Caso standard = C18 · Caso migliore = C18 + 15%.</t>
        </r>
      </text>
    </comment>
  </commentList>
</comments>
</file>

<file path=xl/sharedStrings.xml><?xml version="1.0" encoding="utf-8"?>
<sst xmlns="http://schemas.openxmlformats.org/spreadsheetml/2006/main" count="121" uniqueCount="120">
  <si>
    <t>Costi variabili (unitari)</t>
  </si>
  <si>
    <t>Materia prima</t>
  </si>
  <si>
    <t>Confezione</t>
  </si>
  <si>
    <t>manodopera</t>
  </si>
  <si>
    <t>Etichette, marketing</t>
  </si>
  <si>
    <t>???</t>
  </si>
  <si>
    <t>Costi variabili unitari (totale)</t>
  </si>
  <si>
    <t>Prezzo vendita unitario</t>
  </si>
  <si>
    <t>Margine Contribuzione</t>
  </si>
  <si>
    <t>Costi fissi iniziali (totali)</t>
  </si>
  <si>
    <t>Costi mensili (stipendi, canoni)</t>
  </si>
  <si>
    <t>Vendite medie mensili</t>
  </si>
  <si>
    <t>Margine di contr. Effettivo</t>
  </si>
  <si>
    <t>BEP</t>
  </si>
  <si>
    <t>MATRICE DI RIENTRO</t>
  </si>
  <si>
    <t>Quantità (Q)</t>
  </si>
  <si>
    <t>Ricavi Totali (RT)</t>
  </si>
  <si>
    <t>Costi Variabili Totali (CVT)</t>
  </si>
  <si>
    <t>Costi Fissi (CF)</t>
  </si>
  <si>
    <t>Costi Totali (CT)</t>
  </si>
  <si>
    <t>Profitto / Perdita</t>
  </si>
  <si>
    <t>Break Even Point</t>
  </si>
  <si>
    <t>PAYPBACK PERIOD</t>
  </si>
  <si>
    <t>Coefficiente di variabilità</t>
  </si>
  <si>
    <t>Calcolo tempo di rientro</t>
  </si>
  <si>
    <t>Vendite</t>
  </si>
  <si>
    <t>Tempo (mesi)</t>
  </si>
  <si>
    <t>Casistica</t>
  </si>
  <si>
    <t>Descrizione alert</t>
  </si>
  <si>
    <t>Vendite / Periodo (caso peggiore/medio/migiore)</t>
  </si>
  <si>
    <t>Caso peggiore</t>
  </si>
  <si>
    <t>Caso standard</t>
  </si>
  <si>
    <t>Caso migliore</t>
  </si>
  <si>
    <t>Calcolo Break-Even Point — Guida rapida</t>
  </si>
  <si>
    <t>Questo foglio spiega come compilare il modello BEP e interpretare i risultati.</t>
  </si>
  <si>
    <t xml:space="preserve"> ① DATI DA INSERIRE (foglio BEP)</t>
  </si>
  <si>
    <t>CELLA</t>
  </si>
  <si>
    <t>COSA INSERIRE</t>
  </si>
  <si>
    <t>ESEMPIO</t>
  </si>
  <si>
    <t>C3:C7</t>
  </si>
  <si>
    <t>Costi variabili unitari
Tutti i costi che variano con ogni unità prodotta: materia prima, confezione, manodopera, marketing. Inserisci il costo per singola unità.</t>
  </si>
  <si>
    <t>Materia prima 5 € · Confezione 0,50 €</t>
  </si>
  <si>
    <t>C10</t>
  </si>
  <si>
    <t>Prezzo di vendita unitario
Il prezzo a cui vendi ogni unità al cliente finale.
⚠ Deve essere superiore ai costi variabili (C8), altrimenti il margine è negativo.</t>
  </si>
  <si>
    <t>13,17 €</t>
  </si>
  <si>
    <t>C14</t>
  </si>
  <si>
    <t>Costi fissi iniziali (totali)
L'investimento iniziale da recuperare: macchinari, attrezzature, allestimento, licenze. Non cambiano con la quantità prodotta.</t>
  </si>
  <si>
    <t>85.000 €</t>
  </si>
  <si>
    <t>C16</t>
  </si>
  <si>
    <t>Costi fissi mensili
Costi che si ripetono ogni mese indipendentemente dalle vendite: stipendi, affitto, utenze, abbonamenti.</t>
  </si>
  <si>
    <t>3.000 €/mese</t>
  </si>
  <si>
    <t>C18</t>
  </si>
  <si>
    <t>Vendite medie mensili
Quante unità prevedi di vendere mediamente ogni mese. Usato per calcolare il margine effettivo e il payback period.</t>
  </si>
  <si>
    <t>750 unità/mese</t>
  </si>
  <si>
    <t>C38</t>
  </si>
  <si>
    <t>Coefficiente di variabilità
Percentuale di oscillazione delle vendite per i 3 scenari del payback period.
0,15 = ±15% rispetto alle vendite medie.</t>
  </si>
  <si>
    <t>0,15 (= ±15%)</t>
  </si>
  <si>
    <t xml:space="preserve"> ② COME LEGGERE I RISULTATI</t>
  </si>
  <si>
    <t>CELLA / SEZIONE</t>
  </si>
  <si>
    <t>SIGNIFICATO</t>
  </si>
  <si>
    <t>INTERPRETAZIONE</t>
  </si>
  <si>
    <t>C8 — Costi variabili
unitari totali</t>
  </si>
  <si>
    <t>Somma automatica di tutti i costi variabili inseriti in C3:C7.</t>
  </si>
  <si>
    <t>Se questo valore è vicino al prezzo di vendita (C10), il margine è basso e il BEP sarà molto alto.</t>
  </si>
  <si>
    <t>C12 — Margine di
Contribuzione</t>
  </si>
  <si>
    <t>Prezzo (C10) − Costi variabili (C8).
Quanto "guadagni" su ogni unità venduta prima di coprire i costi fissi.</t>
  </si>
  <si>
    <t>Deve essere positivo. Più è alto, prima raggiungi il BEP.</t>
  </si>
  <si>
    <t>C20 — Margine di contr.
Effettivo</t>
  </si>
  <si>
    <t>Margine di contribuzione al netto dei costi fissi mensili, rapportati alle vendite previste.</t>
  </si>
  <si>
    <t>Se negativo, il modello non è sostenibile nelle condizioni attuali.</t>
  </si>
  <si>
    <t>C22 — BEP
(Break-Even Point)</t>
  </si>
  <si>
    <t>Numero di unità da vendere per coprire tutti i costi fissi iniziali.
Sotto questo valore sei in perdita, sopra sei in utile.</t>
  </si>
  <si>
    <t>Confronta questo valore con le tue vendite medie mensili (C18) per capire quanto tempo ti serve per raggiungere il pareggio.</t>
  </si>
  <si>
    <t>Matrice di rientro
(righe 24-34)</t>
  </si>
  <si>
    <t>Tabella che mostra ricavi, costi e profitto/perdita per quantità che vanno da 0% a 200% del BEP.</t>
  </si>
  <si>
    <t>La riga evidenziata "Break Even Point" mostra il punto esatto in cui profitto = 0.</t>
  </si>
  <si>
    <t>Payback Period
(righe 40-43)</t>
  </si>
  <si>
    <t>3 scenari (peggiore, standard, migliore) che stimano in quanti mesi recuperi l'investimento iniziale.</t>
  </si>
  <si>
    <t>✅ = nella norma · ⚠️ = attenzione · 🔴 = rischio · ⛔ = non sostenibile</t>
  </si>
  <si>
    <t xml:space="preserve"> ③ SIGNIFICATO DEGLI ALERT — PAYBACK PERIOD</t>
  </si>
  <si>
    <t>ICONA</t>
  </si>
  <si>
    <t>COSA FARE</t>
  </si>
  <si>
    <t>✅ PBP nella norma</t>
  </si>
  <si>
    <t>Il tempo di recupero è coerente con la dimensione dell'investimento e i parametri di mercato.</t>
  </si>
  <si>
    <t>Nessuna azione richiesta. Il modello è sostenibile.</t>
  </si>
  <si>
    <t>⚠️ PBP troppo basso
(Aggressivo/Ottimistico)</t>
  </si>
  <si>
    <t>Il recupero è previsto in tempi molto brevi. Potrebbe indicare sottostima dei costi o sovrastima delle vendite.</t>
  </si>
  <si>
    <t>Rivedi i costi variabili e i costi fissi mensili. Verifica la realismo delle vendite previste.</t>
  </si>
  <si>
    <t>🔴 PBP troppo alto
(Rischio/Non sostenibile)</t>
  </si>
  <si>
    <t>Il recupero richiede troppo tempo rispetto alla dimensione dell'investimento. Alto rischio finanziario.</t>
  </si>
  <si>
    <t>Valuta di ridurre i costi fissi, aumentare il prezzo o le vendite previste. Considera se l'investimento è davvero sostenibile.</t>
  </si>
  <si>
    <t>⛔ Non sostenibile</t>
  </si>
  <si>
    <t>Con le vendite previste non si riesce nemmeno a coprire i costi fissi mensili. Il margine effettivo è negativo.</t>
  </si>
  <si>
    <t>Il modello non funziona nelle condizioni attuali. Aumenta significativamente le vendite o riduci i costi fissi mensili.</t>
  </si>
  <si>
    <t>⚠  I valori inseriti sono esempi dimostrativi — sostituiscili con i dati reali del tuo progetto. I risultati hanno valore orientativo e non costituiscono consulenza finanziaria.   ·   Formazione Digitale — formazione-digitale.it</t>
  </si>
  <si>
    <t>Matrice di Validazione Ragionevolezza Economica — PBP</t>
  </si>
  <si>
    <t>Fascia</t>
  </si>
  <si>
    <t>Inv. Min (€)</t>
  </si>
  <si>
    <t>Inv. Max (€)</t>
  </si>
  <si>
    <t>PBP Min (mesi)</t>
  </si>
  <si>
    <t>PBP Max (mesi)</t>
  </si>
  <si>
    <t>Alert PBP &lt; Min</t>
  </si>
  <si>
    <t>Alert PBP &gt; Max</t>
  </si>
  <si>
    <t>Alert OK</t>
  </si>
  <si>
    <t>Micro</t>
  </si>
  <si>
    <t>PBP Aggressivo: verificare sottostima costi operativi o sovrastima vendite</t>
  </si>
  <si>
    <t>Rischio Obsolescenza: rientro troppo lento per micro-investimento</t>
  </si>
  <si>
    <t>✅ PBP nella norma per fascia Micro</t>
  </si>
  <si>
    <t>Small</t>
  </si>
  <si>
    <t>PBP Ottimistico: verificare capacità produttiva reale</t>
  </si>
  <si>
    <t>Sostenibilità Debole: il rientro eccede la durata standard dei finanziamenti</t>
  </si>
  <si>
    <t>✅ PBP nella norma per fascia Small</t>
  </si>
  <si>
    <t>Medium</t>
  </si>
  <si>
    <t>PBP Irrealistico: richiede volumi/margini fuori mercato per questa scala</t>
  </si>
  <si>
    <t>Investimento ad alto rischio: rientro oltre gli 8 anni</t>
  </si>
  <si>
    <t>✅ PBP nella norma per fascia Medium</t>
  </si>
  <si>
    <t>Large</t>
  </si>
  <si>
    <t>Anomalia di scala: verificare veridicità dei margini inseriti</t>
  </si>
  <si>
    <t>Non Sostenibile: rientro oltre i 12 anni</t>
  </si>
  <si>
    <t>✅ PBP nella norma per fascia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</si>
</sst>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#,##0.00&quot; €&quot;"/>
    <numFmt numFmtId="166" formatCode="_-* #,##0.0_-;\-* #,##0.0_-;_-* \-??_-;_-@_-"/>
  </numFmts>
  <fonts count="29" x14ac:knownFonts="1">
    <font>
      <sz val="12"/>
      <color theme="1"/>
      <name val="Calibri"/>
      <family val="2"/>
      <charset val="1"/>
    </font>
    <font>
      <b/>
      <sz val="16"/>
      <color theme="0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9"/>
      <color rgb="FF1F4E79"/>
      <name val="Arial"/>
      <family val="2"/>
      <charset val="1"/>
    </font>
    <font>
      <sz val="9"/>
      <color rgb="FF7D4E00"/>
      <name val="Arial"/>
      <charset val="1"/>
    </font>
    <font>
      <sz val="10"/>
      <name val="Arial"/>
      <family val="2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9"/>
      <color rgb="FF1F4E79"/>
      <name val="Arial"/>
      <charset val="1"/>
    </font>
    <font>
      <b/>
      <sz val="9"/>
      <color rgb="FF2E75B6"/>
      <name val="Arial"/>
      <charset val="1"/>
    </font>
    <font>
      <sz val="9"/>
      <color rgb="FF222222"/>
      <name val="Arial"/>
      <charset val="1"/>
    </font>
    <font>
      <i/>
      <sz val="9"/>
      <color rgb="FF555555"/>
      <name val="Arial"/>
      <charset val="1"/>
    </font>
    <font>
      <b/>
      <sz val="9"/>
      <color rgb="FF7D4E00"/>
      <name val="Arial"/>
      <charset val="1"/>
    </font>
    <font>
      <b/>
      <sz val="10"/>
      <color rgb="FF222222"/>
      <name val="Arial"/>
      <charset val="1"/>
    </font>
    <font>
      <i/>
      <sz val="8"/>
      <color rgb="FF888888"/>
      <name val="Arial"/>
      <charset val="1"/>
    </font>
    <font>
      <b/>
      <sz val="14"/>
      <color rgb="FFFFFFFF"/>
      <name val="Arial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2"/>
      <color theme="1"/>
      <name val="Calibri"/>
      <family val="2"/>
      <charset val="1"/>
    </font>
    <font>
      <b/>
      <sz val="10"/>
      <color indexed="8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rgb="FF2E75B6"/>
      </patternFill>
    </fill>
    <fill>
      <patternFill patternType="solid">
        <fgColor theme="0"/>
        <bgColor rgb="FFEBF3FC"/>
      </patternFill>
    </fill>
    <fill>
      <patternFill patternType="solid">
        <fgColor theme="3" tint="0.79989013336588644"/>
        <bgColor rgb="FFDDDDDD"/>
      </patternFill>
    </fill>
    <fill>
      <patternFill patternType="solid">
        <fgColor theme="4" tint="0.79989013336588644"/>
        <bgColor rgb="FFD6E8F7"/>
      </patternFill>
    </fill>
    <fill>
      <patternFill patternType="solid">
        <fgColor theme="8" tint="0.79989013336588644"/>
        <bgColor rgb="FFD6E8F7"/>
      </patternFill>
    </fill>
    <fill>
      <patternFill patternType="solid">
        <fgColor rgb="FFEBF3FC"/>
        <bgColor rgb="FFDEEBF7"/>
      </patternFill>
    </fill>
    <fill>
      <patternFill patternType="solid">
        <fgColor rgb="FFFFF3CD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D6E8F7"/>
        <bgColor rgb="FFDAE3F3"/>
      </patternFill>
    </fill>
    <fill>
      <patternFill patternType="solid">
        <fgColor rgb="FF7D4E00"/>
        <bgColor rgb="FF555555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DDDDD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">
    <xf numFmtId="0" fontId="0" fillId="0" borderId="0"/>
    <xf numFmtId="164" fontId="25" fillId="0" borderId="0"/>
  </cellStyleXfs>
  <cellXfs count="73">
    <xf numFmtId="0" fontId="0" fillId="0" borderId="0" xfId="0"/>
    <xf numFmtId="0" fontId="21" fillId="9" borderId="2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12" borderId="0" xfId="0" applyFont="1" applyFill="1" applyAlignment="1">
      <alignment horizontal="left" vertical="center" wrapText="1"/>
    </xf>
    <xf numFmtId="0" fontId="13" fillId="10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9" fontId="9" fillId="8" borderId="1" xfId="0" applyNumberFormat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 applyProtection="1">
      <alignment horizontal="center"/>
      <protection locked="0"/>
    </xf>
    <xf numFmtId="165" fontId="25" fillId="3" borderId="3" xfId="1" applyNumberFormat="1" applyFill="1" applyBorder="1" applyProtection="1">
      <protection locked="0"/>
    </xf>
    <xf numFmtId="0" fontId="0" fillId="3" borderId="4" xfId="0" applyFill="1" applyBorder="1" applyAlignment="1" applyProtection="1">
      <alignment horizontal="center"/>
      <protection locked="0"/>
    </xf>
    <xf numFmtId="165" fontId="25" fillId="3" borderId="5" xfId="1" applyNumberFormat="1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165" fontId="25" fillId="3" borderId="7" xfId="1" applyNumberFormat="1" applyFill="1" applyBorder="1" applyProtection="1">
      <protection locked="0"/>
    </xf>
    <xf numFmtId="0" fontId="2" fillId="2" borderId="8" xfId="0" applyFont="1" applyFill="1" applyBorder="1" applyAlignment="1">
      <alignment horizontal="center"/>
    </xf>
    <xf numFmtId="165" fontId="3" fillId="4" borderId="9" xfId="0" applyNumberFormat="1" applyFont="1" applyFill="1" applyBorder="1"/>
    <xf numFmtId="165" fontId="0" fillId="0" borderId="0" xfId="0" applyNumberFormat="1"/>
    <xf numFmtId="165" fontId="0" fillId="0" borderId="10" xfId="0" applyNumberFormat="1" applyBorder="1" applyProtection="1">
      <protection locked="0"/>
    </xf>
    <xf numFmtId="0" fontId="0" fillId="3" borderId="11" xfId="0" applyFill="1" applyBorder="1" applyAlignment="1" applyProtection="1">
      <alignment horizontal="center"/>
      <protection locked="0"/>
    </xf>
    <xf numFmtId="166" fontId="25" fillId="3" borderId="11" xfId="1" applyNumberFormat="1" applyFill="1" applyBorder="1" applyProtection="1">
      <protection locked="0"/>
    </xf>
    <xf numFmtId="165" fontId="3" fillId="4" borderId="9" xfId="1" applyNumberFormat="1" applyFont="1" applyFill="1" applyBorder="1"/>
    <xf numFmtId="166" fontId="25" fillId="3" borderId="11" xfId="1" applyNumberFormat="1" applyFill="1" applyBorder="1"/>
    <xf numFmtId="165" fontId="25" fillId="3" borderId="9" xfId="1" applyNumberFormat="1" applyFill="1" applyBorder="1" applyProtection="1">
      <protection locked="0"/>
    </xf>
    <xf numFmtId="1" fontId="25" fillId="3" borderId="9" xfId="1" applyNumberFormat="1" applyFill="1" applyBorder="1" applyProtection="1">
      <protection locked="0"/>
    </xf>
    <xf numFmtId="165" fontId="4" fillId="4" borderId="10" xfId="1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2" fontId="4" fillId="4" borderId="10" xfId="1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5" fontId="6" fillId="0" borderId="14" xfId="0" applyNumberFormat="1" applyFont="1" applyBorder="1" applyAlignment="1">
      <alignment vertical="center" wrapText="1"/>
    </xf>
    <xf numFmtId="165" fontId="6" fillId="0" borderId="15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16" xfId="0" applyNumberFormat="1" applyFont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2" fontId="7" fillId="5" borderId="4" xfId="0" applyNumberFormat="1" applyFont="1" applyFill="1" applyBorder="1" applyAlignment="1">
      <alignment horizontal="center" vertical="center" wrapText="1"/>
    </xf>
    <xf numFmtId="165" fontId="7" fillId="5" borderId="16" xfId="0" applyNumberFormat="1" applyFont="1" applyFill="1" applyBorder="1" applyAlignment="1">
      <alignment vertical="center" wrapText="1"/>
    </xf>
    <xf numFmtId="165" fontId="7" fillId="5" borderId="5" xfId="0" applyNumberFormat="1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165" fontId="6" fillId="0" borderId="18" xfId="0" applyNumberFormat="1" applyFont="1" applyBorder="1" applyAlignment="1">
      <alignment vertical="center" wrapText="1"/>
    </xf>
    <xf numFmtId="165" fontId="6" fillId="0" borderId="19" xfId="0" applyNumberFormat="1" applyFont="1" applyBorder="1" applyAlignment="1">
      <alignment vertical="center" wrapText="1"/>
    </xf>
    <xf numFmtId="165" fontId="6" fillId="0" borderId="20" xfId="0" applyNumberFormat="1" applyFont="1" applyBorder="1" applyAlignment="1">
      <alignment vertical="center" wrapText="1"/>
    </xf>
    <xf numFmtId="0" fontId="2" fillId="2" borderId="22" xfId="0" applyFont="1" applyFill="1" applyBorder="1" applyAlignment="1">
      <alignment horizontal="center" vertical="center" wrapText="1"/>
    </xf>
    <xf numFmtId="10" fontId="25" fillId="3" borderId="9" xfId="1" applyNumberFormat="1" applyFill="1" applyBorder="1" applyAlignment="1" applyProtection="1">
      <alignment horizontal="center" vertical="center"/>
      <protection locked="0"/>
    </xf>
    <xf numFmtId="0" fontId="2" fillId="2" borderId="2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0" fillId="6" borderId="25" xfId="0" applyFill="1" applyBorder="1" applyAlignment="1" applyProtection="1">
      <alignment horizontal="center" vertical="center"/>
      <protection locked="0"/>
    </xf>
    <xf numFmtId="1" fontId="3" fillId="4" borderId="26" xfId="1" applyNumberFormat="1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1" fontId="0" fillId="6" borderId="27" xfId="0" applyNumberFormat="1" applyFill="1" applyBorder="1" applyAlignment="1" applyProtection="1">
      <alignment horizontal="center" vertical="center"/>
      <protection locked="0"/>
    </xf>
    <xf numFmtId="0" fontId="14" fillId="11" borderId="0" xfId="0" applyFont="1" applyFill="1" applyAlignment="1">
      <alignment horizontal="center" vertical="center" wrapText="1"/>
    </xf>
    <xf numFmtId="0" fontId="15" fillId="7" borderId="28" xfId="0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8" fillId="8" borderId="0" xfId="0" applyFont="1" applyFill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22" fillId="9" borderId="29" xfId="0" applyFont="1" applyFill="1" applyBorder="1" applyAlignment="1">
      <alignment horizontal="center" vertical="center" wrapText="1"/>
    </xf>
    <xf numFmtId="0" fontId="23" fillId="7" borderId="29" xfId="0" applyFont="1" applyFill="1" applyBorder="1" applyAlignment="1">
      <alignment horizontal="center" vertical="center" wrapText="1"/>
    </xf>
    <xf numFmtId="3" fontId="24" fillId="7" borderId="29" xfId="0" applyNumberFormat="1" applyFont="1" applyFill="1" applyBorder="1" applyAlignment="1">
      <alignment horizontal="center" vertical="center" wrapText="1"/>
    </xf>
    <xf numFmtId="0" fontId="24" fillId="7" borderId="29" xfId="0" applyFont="1" applyFill="1" applyBorder="1" applyAlignment="1">
      <alignment horizontal="center" vertical="center" wrapText="1"/>
    </xf>
    <xf numFmtId="0" fontId="24" fillId="7" borderId="29" xfId="0" applyFont="1" applyFill="1" applyBorder="1" applyAlignment="1">
      <alignment horizontal="left" vertical="center" wrapText="1"/>
    </xf>
    <xf numFmtId="0" fontId="23" fillId="11" borderId="29" xfId="0" applyFont="1" applyFill="1" applyBorder="1" applyAlignment="1">
      <alignment horizontal="center" vertical="center" wrapText="1"/>
    </xf>
    <xf numFmtId="3" fontId="24" fillId="11" borderId="29" xfId="0" applyNumberFormat="1" applyFont="1" applyFill="1" applyBorder="1" applyAlignment="1">
      <alignment horizontal="center" vertical="center" wrapText="1"/>
    </xf>
    <xf numFmtId="0" fontId="24" fillId="11" borderId="29" xfId="0" applyFont="1" applyFill="1" applyBorder="1" applyAlignment="1">
      <alignment horizontal="center" vertical="center" wrapText="1"/>
    </xf>
    <xf numFmtId="0" fontId="24" fillId="11" borderId="29" xfId="0" applyFont="1" applyFill="1" applyBorder="1" applyAlignment="1">
      <alignment horizontal="left" vertical="center" wrapText="1"/>
    </xf>
    <xf numFmtId="0" fontId="12" fillId="0" borderId="0" xfId="0" applyFont="1"/>
    <xf numFmtId="0" fontId="17" fillId="0" borderId="28" xfId="0" applyFont="1" applyBorder="1" applyAlignment="1">
      <alignment horizontal="center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88888"/>
      <rgbColor rgb="FF5B9BD5"/>
      <rgbColor rgb="FF595959"/>
      <rgbColor rgb="FFFFF3CD"/>
      <rgbColor rgb="FFDEEBF7"/>
      <rgbColor rgb="FF660066"/>
      <rgbColor rgb="FFFF8080"/>
      <rgbColor rgb="FF2E75B6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EBF3FC"/>
      <rgbColor rgb="FFDAE3F3"/>
      <rgbColor rgb="FF9DC3E6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555555"/>
      <rgbColor rgb="FF7D4E00"/>
      <rgbColor rgb="FF993366"/>
      <rgbColor rgb="FF1F4E7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it-IT" sz="1400" b="0" strike="noStrike" spc="-1">
                <a:solidFill>
                  <a:srgbClr val="595959"/>
                </a:solidFill>
                <a:latin typeface="Calibri"/>
              </a:rPr>
              <a:t>Analisi BREAK-EVEN POINT</a:t>
            </a:r>
          </a:p>
        </c:rich>
      </c:tx>
      <c:layout>
        <c:manualLayout>
          <c:xMode val="edge"/>
          <c:yMode val="edge"/>
          <c:x val="0.46008535646820098"/>
          <c:y val="4.9416880806483498E-5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BEP!$D$25</c:f>
              <c:strCache>
                <c:ptCount val="1"/>
                <c:pt idx="0">
                  <c:v>Ricavi Totali (RT)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BEP!$C$26:$C$34</c:f>
              <c:numCache>
                <c:formatCode>General</c:formatCode>
                <c:ptCount val="9"/>
                <c:pt idx="0">
                  <c:v>0</c:v>
                </c:pt>
                <c:pt idx="1">
                  <c:v>3445.9459497326493</c:v>
                </c:pt>
                <c:pt idx="2">
                  <c:v>6891.8918994652986</c:v>
                </c:pt>
                <c:pt idx="3">
                  <c:v>10337.837849197947</c:v>
                </c:pt>
                <c:pt idx="4" formatCode="0.00">
                  <c:v>13783.783798930597</c:v>
                </c:pt>
                <c:pt idx="5">
                  <c:v>17229.729748663245</c:v>
                </c:pt>
                <c:pt idx="6">
                  <c:v>20675.675698395895</c:v>
                </c:pt>
                <c:pt idx="7">
                  <c:v>24121.621648128545</c:v>
                </c:pt>
                <c:pt idx="8">
                  <c:v>27567.567597861194</c:v>
                </c:pt>
              </c:numCache>
            </c:numRef>
          </c:cat>
          <c:val>
            <c:numRef>
              <c:f>BEP!$D$26:$D$34</c:f>
              <c:numCache>
                <c:formatCode>#,##0.00" €"</c:formatCode>
                <c:ptCount val="9"/>
                <c:pt idx="0">
                  <c:v>0</c:v>
                </c:pt>
                <c:pt idx="1">
                  <c:v>45371.621648128545</c:v>
                </c:pt>
                <c:pt idx="2">
                  <c:v>90743.243296257089</c:v>
                </c:pt>
                <c:pt idx="3">
                  <c:v>136114.86494438563</c:v>
                </c:pt>
                <c:pt idx="4">
                  <c:v>181486.48659251418</c:v>
                </c:pt>
                <c:pt idx="5">
                  <c:v>226858.1082406427</c:v>
                </c:pt>
                <c:pt idx="6">
                  <c:v>272229.72988877125</c:v>
                </c:pt>
                <c:pt idx="7">
                  <c:v>317601.35153689981</c:v>
                </c:pt>
                <c:pt idx="8">
                  <c:v>362972.97318502836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A9-4757-8A44-29FFE2772FFD}"/>
            </c:ext>
          </c:extLst>
        </c:ser>
        <c:ser>
          <c:idx val="1"/>
          <c:order val="1"/>
          <c:tx>
            <c:strRef>
              <c:f>BEP!$F$25</c:f>
              <c:strCache>
                <c:ptCount val="1"/>
                <c:pt idx="0">
                  <c:v>Costi Fissi (CF)</c:v>
                </c:pt>
              </c:strCache>
            </c:strRef>
          </c:tx>
          <c:spPr>
            <a:ln w="28440" cap="rnd">
              <a:solidFill>
                <a:srgbClr val="FFC000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BEP!$C$26:$C$34</c:f>
              <c:numCache>
                <c:formatCode>General</c:formatCode>
                <c:ptCount val="9"/>
                <c:pt idx="0">
                  <c:v>0</c:v>
                </c:pt>
                <c:pt idx="1">
                  <c:v>3445.9459497326493</c:v>
                </c:pt>
                <c:pt idx="2">
                  <c:v>6891.8918994652986</c:v>
                </c:pt>
                <c:pt idx="3">
                  <c:v>10337.837849197947</c:v>
                </c:pt>
                <c:pt idx="4" formatCode="0.00">
                  <c:v>13783.783798930597</c:v>
                </c:pt>
                <c:pt idx="5">
                  <c:v>17229.729748663245</c:v>
                </c:pt>
                <c:pt idx="6">
                  <c:v>20675.675698395895</c:v>
                </c:pt>
                <c:pt idx="7">
                  <c:v>24121.621648128545</c:v>
                </c:pt>
                <c:pt idx="8">
                  <c:v>27567.567597861194</c:v>
                </c:pt>
              </c:numCache>
            </c:numRef>
          </c:cat>
          <c:val>
            <c:numRef>
              <c:f>BEP!$F$26:$F$34</c:f>
              <c:numCache>
                <c:formatCode>#,##0.00" €"</c:formatCode>
                <c:ptCount val="9"/>
                <c:pt idx="0">
                  <c:v>85000</c:v>
                </c:pt>
                <c:pt idx="1">
                  <c:v>98783.783798930599</c:v>
                </c:pt>
                <c:pt idx="2">
                  <c:v>112567.5675978612</c:v>
                </c:pt>
                <c:pt idx="3">
                  <c:v>126351.35139679178</c:v>
                </c:pt>
                <c:pt idx="4">
                  <c:v>140135.1351957224</c:v>
                </c:pt>
                <c:pt idx="5">
                  <c:v>153918.91899465298</c:v>
                </c:pt>
                <c:pt idx="6">
                  <c:v>167702.70279358356</c:v>
                </c:pt>
                <c:pt idx="7">
                  <c:v>181486.48659251418</c:v>
                </c:pt>
                <c:pt idx="8">
                  <c:v>195270.27039144476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A9-4757-8A44-29FFE2772FFD}"/>
            </c:ext>
          </c:extLst>
        </c:ser>
        <c:ser>
          <c:idx val="2"/>
          <c:order val="2"/>
          <c:tx>
            <c:strRef>
              <c:f>BEP!$G$25</c:f>
              <c:strCache>
                <c:ptCount val="1"/>
                <c:pt idx="0">
                  <c:v>Costi Totali (CT)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BEP!$C$26:$C$34</c:f>
              <c:numCache>
                <c:formatCode>General</c:formatCode>
                <c:ptCount val="9"/>
                <c:pt idx="0">
                  <c:v>0</c:v>
                </c:pt>
                <c:pt idx="1">
                  <c:v>3445.9459497326493</c:v>
                </c:pt>
                <c:pt idx="2">
                  <c:v>6891.8918994652986</c:v>
                </c:pt>
                <c:pt idx="3">
                  <c:v>10337.837849197947</c:v>
                </c:pt>
                <c:pt idx="4" formatCode="0.00">
                  <c:v>13783.783798930597</c:v>
                </c:pt>
                <c:pt idx="5">
                  <c:v>17229.729748663245</c:v>
                </c:pt>
                <c:pt idx="6">
                  <c:v>20675.675698395895</c:v>
                </c:pt>
                <c:pt idx="7">
                  <c:v>24121.621648128545</c:v>
                </c:pt>
                <c:pt idx="8">
                  <c:v>27567.567597861194</c:v>
                </c:pt>
              </c:numCache>
            </c:numRef>
          </c:cat>
          <c:val>
            <c:numRef>
              <c:f>BEP!$G$26:$G$34</c:f>
              <c:numCache>
                <c:formatCode>#,##0.00" €"</c:formatCode>
                <c:ptCount val="9"/>
                <c:pt idx="0">
                  <c:v>85000</c:v>
                </c:pt>
                <c:pt idx="1">
                  <c:v>109121.62164812855</c:v>
                </c:pt>
                <c:pt idx="2">
                  <c:v>133243.2432962571</c:v>
                </c:pt>
                <c:pt idx="3">
                  <c:v>157364.86494438563</c:v>
                </c:pt>
                <c:pt idx="4">
                  <c:v>181486.48659251418</c:v>
                </c:pt>
                <c:pt idx="5">
                  <c:v>205608.1082406427</c:v>
                </c:pt>
                <c:pt idx="6">
                  <c:v>229729.72988877125</c:v>
                </c:pt>
                <c:pt idx="7">
                  <c:v>253851.35153689981</c:v>
                </c:pt>
                <c:pt idx="8">
                  <c:v>277972.97318502836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A9-4757-8A44-29FFE2772FFD}"/>
            </c:ext>
          </c:extLst>
        </c:ser>
        <c:ser>
          <c:idx val="3"/>
          <c:order val="3"/>
          <c:tx>
            <c:strRef>
              <c:f>BEP!$H$25</c:f>
              <c:strCache>
                <c:ptCount val="1"/>
                <c:pt idx="0">
                  <c:v>Profitto / Perdita</c:v>
                </c:pt>
              </c:strCache>
            </c:strRef>
          </c:tx>
          <c:spPr>
            <a:ln w="28440" cap="rnd">
              <a:solidFill>
                <a:srgbClr val="70AD47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BEP!$C$26:$C$34</c:f>
              <c:numCache>
                <c:formatCode>General</c:formatCode>
                <c:ptCount val="9"/>
                <c:pt idx="0">
                  <c:v>0</c:v>
                </c:pt>
                <c:pt idx="1">
                  <c:v>3445.9459497326493</c:v>
                </c:pt>
                <c:pt idx="2">
                  <c:v>6891.8918994652986</c:v>
                </c:pt>
                <c:pt idx="3">
                  <c:v>10337.837849197947</c:v>
                </c:pt>
                <c:pt idx="4" formatCode="0.00">
                  <c:v>13783.783798930597</c:v>
                </c:pt>
                <c:pt idx="5">
                  <c:v>17229.729748663245</c:v>
                </c:pt>
                <c:pt idx="6">
                  <c:v>20675.675698395895</c:v>
                </c:pt>
                <c:pt idx="7">
                  <c:v>24121.621648128545</c:v>
                </c:pt>
                <c:pt idx="8">
                  <c:v>27567.567597861194</c:v>
                </c:pt>
              </c:numCache>
            </c:numRef>
          </c:cat>
          <c:val>
            <c:numRef>
              <c:f>BEP!$H$26:$H$34</c:f>
              <c:numCache>
                <c:formatCode>#,##0.00" €"</c:formatCode>
                <c:ptCount val="9"/>
                <c:pt idx="0">
                  <c:v>-85000</c:v>
                </c:pt>
                <c:pt idx="1">
                  <c:v>-63750.000000000007</c:v>
                </c:pt>
                <c:pt idx="2">
                  <c:v>-42500.000000000015</c:v>
                </c:pt>
                <c:pt idx="3">
                  <c:v>-21250</c:v>
                </c:pt>
                <c:pt idx="4">
                  <c:v>0</c:v>
                </c:pt>
                <c:pt idx="5">
                  <c:v>21250</c:v>
                </c:pt>
                <c:pt idx="6">
                  <c:v>42500</c:v>
                </c:pt>
                <c:pt idx="7">
                  <c:v>63750</c:v>
                </c:pt>
                <c:pt idx="8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A9-4757-8A44-29FFE2772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823651"/>
        <c:axId val="38207035"/>
      </c:lineChart>
      <c:catAx>
        <c:axId val="238236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8207035"/>
        <c:crosses val="autoZero"/>
        <c:auto val="1"/>
        <c:lblAlgn val="ctr"/>
        <c:lblOffset val="100"/>
        <c:noMultiLvlLbl val="0"/>
      </c:catAx>
      <c:valAx>
        <c:axId val="382070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it-IT"/>
          </a:p>
        </c:txPr>
        <c:crossAx val="238236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2520</xdr:colOff>
      <xdr:row>1</xdr:row>
      <xdr:rowOff>15120</xdr:rowOff>
    </xdr:from>
    <xdr:to>
      <xdr:col>24</xdr:col>
      <xdr:colOff>358560</xdr:colOff>
      <xdr:row>32</xdr:row>
      <xdr:rowOff>98640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3"/>
  <sheetViews>
    <sheetView tabSelected="1" zoomScaleNormal="100" workbookViewId="0">
      <selection activeCell="C41" sqref="C41"/>
    </sheetView>
  </sheetViews>
  <sheetFormatPr defaultColWidth="8.59765625" defaultRowHeight="15.6" x14ac:dyDescent="0.3"/>
  <cols>
    <col min="1" max="1" width="3" customWidth="1"/>
    <col min="2" max="2" width="26.5" customWidth="1"/>
    <col min="3" max="3" width="13.59765625" customWidth="1"/>
    <col min="4" max="4" width="16.3984375" customWidth="1"/>
    <col min="5" max="5" width="14" customWidth="1"/>
    <col min="6" max="6" width="12.09765625" customWidth="1"/>
    <col min="7" max="7" width="13.69921875" customWidth="1"/>
    <col min="8" max="8" width="11.69921875" customWidth="1"/>
  </cols>
  <sheetData>
    <row r="1" spans="2:3" ht="16.5" customHeight="1" x14ac:dyDescent="0.3"/>
    <row r="2" spans="2:3" ht="21.75" customHeight="1" x14ac:dyDescent="0.4">
      <c r="B2" s="14" t="s">
        <v>0</v>
      </c>
      <c r="C2" s="14"/>
    </row>
    <row r="3" spans="2:3" ht="15.75" customHeight="1" x14ac:dyDescent="0.3">
      <c r="B3" s="15" t="s">
        <v>1</v>
      </c>
      <c r="C3" s="16">
        <v>1</v>
      </c>
    </row>
    <row r="4" spans="2:3" x14ac:dyDescent="0.3">
      <c r="B4" s="17" t="s">
        <v>2</v>
      </c>
      <c r="C4" s="18">
        <v>0.5</v>
      </c>
    </row>
    <row r="5" spans="2:3" x14ac:dyDescent="0.3">
      <c r="B5" s="17" t="s">
        <v>3</v>
      </c>
      <c r="C5" s="18">
        <v>1</v>
      </c>
    </row>
    <row r="6" spans="2:3" x14ac:dyDescent="0.3">
      <c r="B6" s="17" t="s">
        <v>4</v>
      </c>
      <c r="C6" s="18">
        <v>0.5</v>
      </c>
    </row>
    <row r="7" spans="2:3" ht="16.5" customHeight="1" x14ac:dyDescent="0.3">
      <c r="B7" s="19" t="s">
        <v>5</v>
      </c>
      <c r="C7" s="20">
        <v>0</v>
      </c>
    </row>
    <row r="8" spans="2:3" ht="16.5" customHeight="1" x14ac:dyDescent="0.3">
      <c r="B8" s="21" t="s">
        <v>6</v>
      </c>
      <c r="C8" s="22">
        <f>SUM(C3:C7)</f>
        <v>3</v>
      </c>
    </row>
    <row r="9" spans="2:3" ht="16.5" customHeight="1" x14ac:dyDescent="0.3">
      <c r="C9" s="23"/>
    </row>
    <row r="10" spans="2:3" ht="16.5" customHeight="1" x14ac:dyDescent="0.3">
      <c r="B10" s="21" t="s">
        <v>7</v>
      </c>
      <c r="C10" s="24">
        <v>13.1666666598902</v>
      </c>
    </row>
    <row r="11" spans="2:3" ht="16.5" customHeight="1" x14ac:dyDescent="0.3">
      <c r="B11" s="25"/>
      <c r="C11" s="26"/>
    </row>
    <row r="12" spans="2:3" ht="16.5" customHeight="1" x14ac:dyDescent="0.3">
      <c r="B12" s="21" t="s">
        <v>8</v>
      </c>
      <c r="C12" s="27">
        <f>C10-C8</f>
        <v>10.1666666598902</v>
      </c>
    </row>
    <row r="13" spans="2:3" ht="16.5" customHeight="1" x14ac:dyDescent="0.3">
      <c r="B13" s="25"/>
      <c r="C13" s="28"/>
    </row>
    <row r="14" spans="2:3" ht="16.5" customHeight="1" x14ac:dyDescent="0.3">
      <c r="B14" s="21" t="s">
        <v>9</v>
      </c>
      <c r="C14" s="29">
        <v>85000</v>
      </c>
    </row>
    <row r="15" spans="2:3" ht="16.5" customHeight="1" x14ac:dyDescent="0.3"/>
    <row r="16" spans="2:3" ht="16.5" customHeight="1" x14ac:dyDescent="0.3">
      <c r="B16" s="21" t="s">
        <v>10</v>
      </c>
      <c r="C16" s="29">
        <v>3000</v>
      </c>
    </row>
    <row r="17" spans="2:8" ht="16.5" customHeight="1" x14ac:dyDescent="0.3"/>
    <row r="18" spans="2:8" ht="16.5" customHeight="1" x14ac:dyDescent="0.3">
      <c r="B18" s="21" t="s">
        <v>11</v>
      </c>
      <c r="C18" s="30">
        <v>750</v>
      </c>
    </row>
    <row r="19" spans="2:8" ht="16.5" customHeight="1" x14ac:dyDescent="0.3"/>
    <row r="20" spans="2:8" ht="19.5" customHeight="1" x14ac:dyDescent="0.35">
      <c r="B20" s="21" t="s">
        <v>12</v>
      </c>
      <c r="C20" s="31">
        <f>C12-(C16/C18)</f>
        <v>6.1666666598902005</v>
      </c>
    </row>
    <row r="21" spans="2:8" ht="16.5" customHeight="1" x14ac:dyDescent="0.3">
      <c r="C21" s="23"/>
    </row>
    <row r="22" spans="2:8" ht="19.5" customHeight="1" x14ac:dyDescent="0.35">
      <c r="B22" s="32" t="s">
        <v>13</v>
      </c>
      <c r="C22" s="33">
        <f>C14/C20</f>
        <v>13783.783798930597</v>
      </c>
    </row>
    <row r="23" spans="2:8" ht="15.75" customHeight="1" x14ac:dyDescent="0.3"/>
    <row r="24" spans="2:8" ht="27" customHeight="1" x14ac:dyDescent="0.3">
      <c r="C24" s="13" t="s">
        <v>14</v>
      </c>
      <c r="D24" s="13"/>
      <c r="E24" s="13"/>
      <c r="F24" s="13"/>
      <c r="G24" s="13"/>
      <c r="H24" s="13"/>
    </row>
    <row r="25" spans="2:8" ht="57" customHeight="1" x14ac:dyDescent="0.3">
      <c r="C25" s="34" t="s">
        <v>15</v>
      </c>
      <c r="D25" s="34" t="s">
        <v>16</v>
      </c>
      <c r="E25" s="34" t="s">
        <v>17</v>
      </c>
      <c r="F25" s="34" t="s">
        <v>18</v>
      </c>
      <c r="G25" s="34" t="s">
        <v>19</v>
      </c>
      <c r="H25" s="34" t="s">
        <v>20</v>
      </c>
    </row>
    <row r="26" spans="2:8" ht="16.5" customHeight="1" x14ac:dyDescent="0.3">
      <c r="C26" s="35">
        <f>$C$30*0%</f>
        <v>0</v>
      </c>
      <c r="D26" s="36">
        <f t="shared" ref="D26:D34" si="0">C26*$C$10</f>
        <v>0</v>
      </c>
      <c r="E26" s="36">
        <f t="shared" ref="E26:E34" si="1">C26*$C$8</f>
        <v>0</v>
      </c>
      <c r="F26" s="36">
        <f t="shared" ref="F26:F34" si="2">$C$14+($C$16 * (C26 / $C$18))</f>
        <v>85000</v>
      </c>
      <c r="G26" s="36">
        <f t="shared" ref="G26:G34" si="3">E26+F26</f>
        <v>85000</v>
      </c>
      <c r="H26" s="37">
        <f t="shared" ref="H26:H34" si="4">D26-G26</f>
        <v>-85000</v>
      </c>
    </row>
    <row r="27" spans="2:8" ht="16.5" customHeight="1" x14ac:dyDescent="0.3">
      <c r="C27" s="38">
        <f>$C$30*25%</f>
        <v>3445.9459497326493</v>
      </c>
      <c r="D27" s="39">
        <f t="shared" si="0"/>
        <v>45371.621648128545</v>
      </c>
      <c r="E27" s="39">
        <f t="shared" si="1"/>
        <v>10337.837849197947</v>
      </c>
      <c r="F27" s="36">
        <f t="shared" si="2"/>
        <v>98783.783798930599</v>
      </c>
      <c r="G27" s="39">
        <f t="shared" si="3"/>
        <v>109121.62164812855</v>
      </c>
      <c r="H27" s="40">
        <f t="shared" si="4"/>
        <v>-63750.000000000007</v>
      </c>
    </row>
    <row r="28" spans="2:8" ht="16.5" customHeight="1" x14ac:dyDescent="0.3">
      <c r="C28" s="38">
        <f>$C$30*50%</f>
        <v>6891.8918994652986</v>
      </c>
      <c r="D28" s="39">
        <f t="shared" si="0"/>
        <v>90743.243296257089</v>
      </c>
      <c r="E28" s="39">
        <f t="shared" si="1"/>
        <v>20675.675698395895</v>
      </c>
      <c r="F28" s="36">
        <f t="shared" si="2"/>
        <v>112567.5675978612</v>
      </c>
      <c r="G28" s="39">
        <f t="shared" si="3"/>
        <v>133243.2432962571</v>
      </c>
      <c r="H28" s="40">
        <f t="shared" si="4"/>
        <v>-42500.000000000015</v>
      </c>
    </row>
    <row r="29" spans="2:8" ht="16.5" customHeight="1" x14ac:dyDescent="0.3">
      <c r="C29" s="38">
        <f>$C$30*75%</f>
        <v>10337.837849197947</v>
      </c>
      <c r="D29" s="39">
        <f t="shared" si="0"/>
        <v>136114.86494438563</v>
      </c>
      <c r="E29" s="39">
        <f t="shared" si="1"/>
        <v>31013.513547593844</v>
      </c>
      <c r="F29" s="36">
        <f t="shared" si="2"/>
        <v>126351.35139679178</v>
      </c>
      <c r="G29" s="39">
        <f t="shared" si="3"/>
        <v>157364.86494438563</v>
      </c>
      <c r="H29" s="40">
        <f t="shared" si="4"/>
        <v>-21250</v>
      </c>
    </row>
    <row r="30" spans="2:8" ht="16.5" customHeight="1" x14ac:dyDescent="0.3">
      <c r="B30" s="21" t="s">
        <v>21</v>
      </c>
      <c r="C30" s="41">
        <f>C22</f>
        <v>13783.783798930597</v>
      </c>
      <c r="D30" s="42">
        <f t="shared" si="0"/>
        <v>181486.48659251418</v>
      </c>
      <c r="E30" s="42">
        <f t="shared" si="1"/>
        <v>41351.35139679179</v>
      </c>
      <c r="F30" s="36">
        <f t="shared" si="2"/>
        <v>140135.1351957224</v>
      </c>
      <c r="G30" s="42">
        <f t="shared" si="3"/>
        <v>181486.48659251418</v>
      </c>
      <c r="H30" s="43">
        <f t="shared" si="4"/>
        <v>0</v>
      </c>
    </row>
    <row r="31" spans="2:8" ht="15.75" customHeight="1" x14ac:dyDescent="0.3">
      <c r="C31" s="38">
        <f>$C$30*125%</f>
        <v>17229.729748663245</v>
      </c>
      <c r="D31" s="39">
        <f t="shared" si="0"/>
        <v>226858.1082406427</v>
      </c>
      <c r="E31" s="39">
        <f t="shared" si="1"/>
        <v>51689.189245989735</v>
      </c>
      <c r="F31" s="36">
        <f t="shared" si="2"/>
        <v>153918.91899465298</v>
      </c>
      <c r="G31" s="39">
        <f t="shared" si="3"/>
        <v>205608.1082406427</v>
      </c>
      <c r="H31" s="40">
        <f t="shared" si="4"/>
        <v>21250</v>
      </c>
    </row>
    <row r="32" spans="2:8" ht="16.5" customHeight="1" x14ac:dyDescent="0.3">
      <c r="C32" s="38">
        <f>$C$30*150%</f>
        <v>20675.675698395895</v>
      </c>
      <c r="D32" s="39">
        <f t="shared" si="0"/>
        <v>272229.72988877125</v>
      </c>
      <c r="E32" s="39">
        <f t="shared" si="1"/>
        <v>62027.027095187688</v>
      </c>
      <c r="F32" s="36">
        <f t="shared" si="2"/>
        <v>167702.70279358356</v>
      </c>
      <c r="G32" s="39">
        <f t="shared" si="3"/>
        <v>229729.72988877125</v>
      </c>
      <c r="H32" s="40">
        <f t="shared" si="4"/>
        <v>42500</v>
      </c>
    </row>
    <row r="33" spans="2:12" ht="16.5" customHeight="1" x14ac:dyDescent="0.3">
      <c r="C33" s="38">
        <f>$C$30*175%</f>
        <v>24121.621648128545</v>
      </c>
      <c r="D33" s="39">
        <f t="shared" si="0"/>
        <v>317601.35153689981</v>
      </c>
      <c r="E33" s="39">
        <f t="shared" si="1"/>
        <v>72364.864944385627</v>
      </c>
      <c r="F33" s="36">
        <f t="shared" si="2"/>
        <v>181486.48659251418</v>
      </c>
      <c r="G33" s="39">
        <f t="shared" si="3"/>
        <v>253851.35153689981</v>
      </c>
      <c r="H33" s="40">
        <f t="shared" si="4"/>
        <v>63750</v>
      </c>
    </row>
    <row r="34" spans="2:12" ht="16.5" customHeight="1" x14ac:dyDescent="0.3">
      <c r="C34" s="44">
        <f>$C$30*200%</f>
        <v>27567.567597861194</v>
      </c>
      <c r="D34" s="45">
        <f t="shared" si="0"/>
        <v>362972.97318502836</v>
      </c>
      <c r="E34" s="45">
        <f t="shared" si="1"/>
        <v>82702.702793583579</v>
      </c>
      <c r="F34" s="46">
        <f t="shared" si="2"/>
        <v>195270.27039144476</v>
      </c>
      <c r="G34" s="45">
        <f t="shared" si="3"/>
        <v>277972.97318502836</v>
      </c>
      <c r="H34" s="47">
        <f t="shared" si="4"/>
        <v>85000</v>
      </c>
    </row>
    <row r="36" spans="2:12" ht="27" customHeight="1" x14ac:dyDescent="0.3">
      <c r="B36" s="12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2:12" ht="15.75" customHeight="1" x14ac:dyDescent="0.3"/>
    <row r="38" spans="2:12" ht="15.75" customHeight="1" x14ac:dyDescent="0.3">
      <c r="B38" s="48" t="s">
        <v>23</v>
      </c>
      <c r="C38" s="49">
        <v>0.15</v>
      </c>
    </row>
    <row r="39" spans="2:12" ht="16.5" customHeight="1" x14ac:dyDescent="0.3"/>
    <row r="40" spans="2:12" ht="16.5" customHeight="1" x14ac:dyDescent="0.3">
      <c r="B40" s="48" t="s">
        <v>24</v>
      </c>
      <c r="C40" s="50" t="s">
        <v>25</v>
      </c>
      <c r="D40" s="51" t="s">
        <v>26</v>
      </c>
      <c r="E40" s="51" t="s">
        <v>27</v>
      </c>
      <c r="G40" s="11" t="s">
        <v>28</v>
      </c>
      <c r="H40" s="11"/>
      <c r="I40" s="11"/>
      <c r="J40" s="11"/>
      <c r="K40" s="11"/>
      <c r="L40" s="11"/>
    </row>
    <row r="41" spans="2:12" ht="36" customHeight="1" x14ac:dyDescent="0.3">
      <c r="B41" s="10" t="s">
        <v>29</v>
      </c>
      <c r="C41" s="52">
        <f>$C$42-$C$42*$C$38</f>
        <v>637.5</v>
      </c>
      <c r="D41" s="53">
        <f>IF($C$12 - ($C$16 / C41) &lt;= 0, "NON SOSTENIBILE", CEILING(($C$14 / ($C$12 - ($C$16 / C41))) / C41, 1))</f>
        <v>25</v>
      </c>
      <c r="E41" s="54" t="s">
        <v>30</v>
      </c>
      <c r="G41" s="9" t="str">
        <f>IF(NOT(ISNUMBER(D41)),"⛔ Non sostenibile",IF($C$14&lt;=100000,IF(D41&lt;12,"⚠️ MICRO — PBP Aggressivo: verificare sottostima costi o sovrastima vendite",IF(D41&gt;48,"🔴 MICRO — Rischio Obsolescenza: rientro troppo lento per micro-investimento","✅ PBP nella norma per fascia Micro")),IF($C$14&lt;=300000,IF(D41&lt;18,"⚠️ SMALL — PBP Ottimistico: verificare capacità produttiva reale",IF(D41&gt;72,"🔴 SMALL — Sostenibilità Debole: rientro eccede durata standard finanziamenti","✅ PBP nella norma per fascia Small")),IF($C$14&lt;=1000000,IF(D41&lt;24,"⚠️ MEDIUM — PBP Irrealistico: volumi/margini fuori mercato per questa scala",IF(D41&gt;96,"🔴 MEDIUM — Investimento ad alto rischio: rientro oltre gli 8 anni","✅ PBP nella norma per fascia Medium")),IF(D41&lt;48,"⚠️ LARGE — Anomalia di scala: verificare veridicità dei margini inseriti",IF(D41&gt;144,"🔴 LARGE — Non Sostenibile: rientro oltre i 12 anni","✅ PBP nella norma per fascia Large"))))))</f>
        <v>✅ PBP nella norma per fascia Micro</v>
      </c>
      <c r="H41" s="9"/>
      <c r="I41" s="9"/>
      <c r="J41" s="9"/>
      <c r="K41" s="9"/>
      <c r="L41" s="9"/>
    </row>
    <row r="42" spans="2:12" ht="36" customHeight="1" x14ac:dyDescent="0.3">
      <c r="B42" s="10"/>
      <c r="C42" s="55">
        <f>$C$18</f>
        <v>750</v>
      </c>
      <c r="D42" s="53">
        <f>IF($C$12 - ($C$16 / C42) &lt;= 0, "NON SOSTENIBILE", CEILING(($C$14 / ($C$12 - ($C$16 / C42))) / C42, 1))</f>
        <v>19</v>
      </c>
      <c r="E42" s="54" t="s">
        <v>31</v>
      </c>
      <c r="G42" s="8" t="str">
        <f>IF(NOT(ISNUMBER(D42)),"⛔ Non sostenibile",IF($C$14&lt;=100000,IF(D42&lt;12,"⚠️ MICRO — PBP Aggressivo: verificare sottostima costi o sovrastima vendite",IF(D42&gt;48,"🔴 MICRO — Rischio Obsolescenza: rientro troppo lento per micro-investimento","✅ PBP nella norma per fascia Micro")),IF($C$14&lt;=300000,IF(D42&lt;18,"⚠️ SMALL — PBP Ottimistico: verificare capacità produttiva reale",IF(D42&gt;72,"🔴 SMALL — Sostenibilità Debole: rientro eccede durata standard finanziamenti","✅ PBP nella norma per fascia Small")),IF($C$14&lt;=1000000,IF(D42&lt;24,"⚠️ MEDIUM — PBP Irrealistico: volumi/margini fuori mercato per questa scala",IF(D42&gt;96,"🔴 MEDIUM — Investimento ad alto rischio: rientro oltre gli 8 anni","✅ PBP nella norma per fascia Medium")),IF(D42&lt;48,"⚠️ LARGE — Anomalia di scala: verificare veridicità dei margini inseriti",IF(D42&gt;144,"🔴 LARGE — Non Sostenibile: rientro oltre i 12 anni","✅ PBP nella norma per fascia Large"))))))</f>
        <v>✅ PBP nella norma per fascia Micro</v>
      </c>
      <c r="H42" s="8"/>
      <c r="I42" s="8"/>
      <c r="J42" s="8"/>
      <c r="K42" s="8"/>
      <c r="L42" s="8"/>
    </row>
    <row r="43" spans="2:12" ht="36" customHeight="1" x14ac:dyDescent="0.3">
      <c r="B43" s="10"/>
      <c r="C43" s="52">
        <f>$C$42+$C$42*$C$38</f>
        <v>862.5</v>
      </c>
      <c r="D43" s="53">
        <f>IF($C$12 - ($C$16 / C43) &lt;= 0, "NON SOSTENIBILE", CEILING(($C$14 / ($C$12 - ($C$16 / C43))) / C43, 1))</f>
        <v>15</v>
      </c>
      <c r="E43" s="54" t="s">
        <v>32</v>
      </c>
      <c r="G43" s="7" t="str">
        <f>IF(NOT(ISNUMBER(D43)),"⛔ Non sostenibile",IF($C$14&lt;=100000,IF(D43&lt;12,"⚠️ MICRO — PBP Aggressivo: verificare sottostima costi o sovrastima vendite",IF(D43&gt;48,"🔴 MICRO — Rischio Obsolescenza: rientro troppo lento per micro-investimento","✅ PBP nella norma per fascia Micro")),IF($C$14&lt;=300000,IF(D43&lt;18,"⚠️ SMALL — PBP Ottimistico: verificare capacità produttiva reale",IF(D43&gt;72,"🔴 SMALL — Sostenibilità Debole: rientro eccede durata standard finanziamenti","✅ PBP nella norma per fascia Small")),IF($C$14&lt;=1000000,IF(D43&lt;24,"⚠️ MEDIUM — PBP Irrealistico: volumi/margini fuori mercato per questa scala",IF(D43&gt;96,"🔴 MEDIUM — Investimento ad alto rischio: rientro oltre gli 8 anni","✅ PBP nella norma per fascia Medium")),IF(D43&lt;48,"⚠️ LARGE — Anomalia di scala: verificare veridicità dei margini inseriti",IF(D43&gt;144,"🔴 LARGE — Non Sostenibile: rientro oltre i 12 anni","✅ PBP nella norma per fascia Large"))))))</f>
        <v>✅ PBP nella norma per fascia Micro</v>
      </c>
      <c r="H43" s="7"/>
      <c r="I43" s="7"/>
      <c r="J43" s="7"/>
      <c r="K43" s="7"/>
      <c r="L43" s="7"/>
    </row>
  </sheetData>
  <mergeCells count="8">
    <mergeCell ref="B2:C2"/>
    <mergeCell ref="C24:H24"/>
    <mergeCell ref="B36:L36"/>
    <mergeCell ref="G40:L40"/>
    <mergeCell ref="B41:B43"/>
    <mergeCell ref="G41:L41"/>
    <mergeCell ref="G42:L42"/>
    <mergeCell ref="G43:L43"/>
  </mergeCell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zoomScaleNormal="100" workbookViewId="0">
      <selection activeCell="G6" sqref="G6"/>
    </sheetView>
  </sheetViews>
  <sheetFormatPr defaultColWidth="8.59765625" defaultRowHeight="15.6" x14ac:dyDescent="0.3"/>
  <cols>
    <col min="1" max="1" width="3" customWidth="1"/>
    <col min="2" max="2" width="20.69921875" bestFit="1" customWidth="1"/>
    <col min="3" max="3" width="42" customWidth="1"/>
    <col min="4" max="4" width="22" customWidth="1"/>
  </cols>
  <sheetData>
    <row r="1" spans="1:4" ht="36" customHeight="1" x14ac:dyDescent="0.3">
      <c r="A1" s="6" t="s">
        <v>33</v>
      </c>
      <c r="B1" s="6"/>
      <c r="C1" s="6"/>
      <c r="D1" s="6"/>
    </row>
    <row r="2" spans="1:4" ht="18" customHeight="1" x14ac:dyDescent="0.3">
      <c r="A2" s="5" t="s">
        <v>34</v>
      </c>
      <c r="B2" s="5"/>
      <c r="C2" s="5"/>
      <c r="D2" s="5"/>
    </row>
    <row r="3" spans="1:4" ht="9.75" customHeight="1" x14ac:dyDescent="0.3"/>
    <row r="4" spans="1:4" ht="21.75" customHeight="1" x14ac:dyDescent="0.3">
      <c r="A4" s="4" t="s">
        <v>35</v>
      </c>
      <c r="B4" s="4"/>
      <c r="C4" s="4"/>
      <c r="D4" s="4"/>
    </row>
    <row r="5" spans="1:4" ht="18" customHeight="1" x14ac:dyDescent="0.3">
      <c r="B5" s="56" t="s">
        <v>36</v>
      </c>
      <c r="C5" s="56" t="s">
        <v>37</v>
      </c>
      <c r="D5" s="56" t="s">
        <v>38</v>
      </c>
    </row>
    <row r="6" spans="1:4" ht="51.75" customHeight="1" x14ac:dyDescent="0.3">
      <c r="B6" s="57" t="s">
        <v>39</v>
      </c>
      <c r="C6" s="58" t="s">
        <v>40</v>
      </c>
      <c r="D6" s="72" t="s">
        <v>41</v>
      </c>
    </row>
    <row r="7" spans="1:4" ht="51.75" customHeight="1" x14ac:dyDescent="0.3">
      <c r="B7" s="57" t="s">
        <v>42</v>
      </c>
      <c r="C7" s="58" t="s">
        <v>43</v>
      </c>
      <c r="D7" s="72" t="s">
        <v>44</v>
      </c>
    </row>
    <row r="8" spans="1:4" ht="51.75" customHeight="1" x14ac:dyDescent="0.3">
      <c r="B8" s="57" t="s">
        <v>45</v>
      </c>
      <c r="C8" s="58" t="s">
        <v>46</v>
      </c>
      <c r="D8" s="72" t="s">
        <v>47</v>
      </c>
    </row>
    <row r="9" spans="1:4" ht="51.75" customHeight="1" x14ac:dyDescent="0.3">
      <c r="B9" s="57" t="s">
        <v>48</v>
      </c>
      <c r="C9" s="58" t="s">
        <v>49</v>
      </c>
      <c r="D9" s="72" t="s">
        <v>50</v>
      </c>
    </row>
    <row r="10" spans="1:4" ht="51.75" customHeight="1" x14ac:dyDescent="0.3">
      <c r="B10" s="57" t="s">
        <v>51</v>
      </c>
      <c r="C10" s="58" t="s">
        <v>52</v>
      </c>
      <c r="D10" s="72" t="s">
        <v>53</v>
      </c>
    </row>
    <row r="11" spans="1:4" ht="51.75" customHeight="1" x14ac:dyDescent="0.3">
      <c r="B11" s="57" t="s">
        <v>54</v>
      </c>
      <c r="C11" s="58" t="s">
        <v>55</v>
      </c>
      <c r="D11" s="72" t="s">
        <v>56</v>
      </c>
    </row>
    <row r="13" spans="1:4" ht="9.75" customHeight="1" x14ac:dyDescent="0.3"/>
    <row r="14" spans="1:4" ht="21.75" customHeight="1" x14ac:dyDescent="0.3">
      <c r="A14" s="4" t="s">
        <v>57</v>
      </c>
      <c r="B14" s="4"/>
      <c r="C14" s="4"/>
      <c r="D14" s="4"/>
    </row>
    <row r="15" spans="1:4" ht="18" customHeight="1" x14ac:dyDescent="0.3">
      <c r="B15" s="56" t="s">
        <v>58</v>
      </c>
      <c r="C15" s="56" t="s">
        <v>59</v>
      </c>
      <c r="D15" s="56" t="s">
        <v>60</v>
      </c>
    </row>
    <row r="16" spans="1:4" ht="51.75" customHeight="1" x14ac:dyDescent="0.3">
      <c r="B16" s="57" t="s">
        <v>61</v>
      </c>
      <c r="C16" s="58" t="s">
        <v>62</v>
      </c>
      <c r="D16" s="59" t="s">
        <v>63</v>
      </c>
    </row>
    <row r="17" spans="1:4" ht="51.75" customHeight="1" x14ac:dyDescent="0.3">
      <c r="B17" s="57" t="s">
        <v>64</v>
      </c>
      <c r="C17" s="58" t="s">
        <v>65</v>
      </c>
      <c r="D17" s="59" t="s">
        <v>66</v>
      </c>
    </row>
    <row r="18" spans="1:4" ht="51.75" customHeight="1" x14ac:dyDescent="0.3">
      <c r="B18" s="57" t="s">
        <v>67</v>
      </c>
      <c r="C18" s="58" t="s">
        <v>68</v>
      </c>
      <c r="D18" s="59" t="s">
        <v>69</v>
      </c>
    </row>
    <row r="19" spans="1:4" ht="51.75" customHeight="1" x14ac:dyDescent="0.3">
      <c r="B19" s="57" t="s">
        <v>70</v>
      </c>
      <c r="C19" s="58" t="s">
        <v>71</v>
      </c>
      <c r="D19" s="59" t="s">
        <v>72</v>
      </c>
    </row>
    <row r="20" spans="1:4" ht="51.75" customHeight="1" x14ac:dyDescent="0.3">
      <c r="B20" s="57" t="s">
        <v>73</v>
      </c>
      <c r="C20" s="58" t="s">
        <v>74</v>
      </c>
      <c r="D20" s="59" t="s">
        <v>75</v>
      </c>
    </row>
    <row r="21" spans="1:4" ht="51.75" customHeight="1" x14ac:dyDescent="0.3">
      <c r="B21" s="57" t="s">
        <v>76</v>
      </c>
      <c r="C21" s="58" t="s">
        <v>77</v>
      </c>
      <c r="D21" s="59" t="s">
        <v>78</v>
      </c>
    </row>
    <row r="23" spans="1:4" ht="9.75" customHeight="1" x14ac:dyDescent="0.3"/>
    <row r="24" spans="1:4" ht="21.75" customHeight="1" x14ac:dyDescent="0.3">
      <c r="A24" s="3" t="s">
        <v>79</v>
      </c>
      <c r="B24" s="3"/>
      <c r="C24" s="3"/>
      <c r="D24" s="3"/>
    </row>
    <row r="25" spans="1:4" ht="18" customHeight="1" x14ac:dyDescent="0.3">
      <c r="B25" s="60" t="s">
        <v>80</v>
      </c>
      <c r="C25" s="60" t="s">
        <v>59</v>
      </c>
      <c r="D25" s="60" t="s">
        <v>81</v>
      </c>
    </row>
    <row r="26" spans="1:4" ht="43.5" customHeight="1" x14ac:dyDescent="0.3">
      <c r="B26" s="61" t="s">
        <v>82</v>
      </c>
      <c r="C26" s="58" t="s">
        <v>83</v>
      </c>
      <c r="D26" s="59" t="s">
        <v>84</v>
      </c>
    </row>
    <row r="27" spans="1:4" ht="43.5" customHeight="1" x14ac:dyDescent="0.3">
      <c r="B27" s="61" t="s">
        <v>85</v>
      </c>
      <c r="C27" s="58" t="s">
        <v>86</v>
      </c>
      <c r="D27" s="59" t="s">
        <v>87</v>
      </c>
    </row>
    <row r="28" spans="1:4" ht="43.5" customHeight="1" x14ac:dyDescent="0.3">
      <c r="B28" s="61" t="s">
        <v>88</v>
      </c>
      <c r="C28" s="58" t="s">
        <v>89</v>
      </c>
      <c r="D28" s="59" t="s">
        <v>90</v>
      </c>
    </row>
    <row r="29" spans="1:4" ht="43.5" customHeight="1" x14ac:dyDescent="0.3">
      <c r="B29" s="61" t="s">
        <v>91</v>
      </c>
      <c r="C29" s="58" t="s">
        <v>92</v>
      </c>
      <c r="D29" s="59" t="s">
        <v>93</v>
      </c>
    </row>
    <row r="31" spans="1:4" ht="9.75" customHeight="1" x14ac:dyDescent="0.3"/>
    <row r="32" spans="1:4" ht="27.75" customHeight="1" x14ac:dyDescent="0.3">
      <c r="A32" s="2" t="s">
        <v>94</v>
      </c>
      <c r="B32" s="2"/>
      <c r="C32" s="2"/>
      <c r="D32" s="2"/>
    </row>
  </sheetData>
  <mergeCells count="6">
    <mergeCell ref="A32:D32"/>
    <mergeCell ref="A1:D1"/>
    <mergeCell ref="A2:D2"/>
    <mergeCell ref="A4:D4"/>
    <mergeCell ref="A14:D14"/>
    <mergeCell ref="A24:D24"/>
  </mergeCells>
  <pageMargins left="0.75" right="0.75" top="1" bottom="1" header="0.511811023622047" footer="0.511811023622047"/>
  <pageSetup paperSize="9" orientation="portrait" horizontalDpi="300" verticalDpi="300"/>
  <ignoredErrors>
    <ignoredError sqref="D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0"/>
  <sheetViews>
    <sheetView zoomScaleNormal="100" workbookViewId="0">
      <selection activeCell="B2" sqref="B2:I2"/>
    </sheetView>
  </sheetViews>
  <sheetFormatPr defaultColWidth="8.59765625" defaultRowHeight="15.6" x14ac:dyDescent="0.3"/>
  <cols>
    <col min="1" max="1" width="2.19921875" customWidth="1"/>
    <col min="2" max="2" width="6.8984375" customWidth="1"/>
    <col min="3" max="3" width="9.5" customWidth="1"/>
    <col min="4" max="4" width="10" customWidth="1"/>
    <col min="5" max="5" width="12.796875" customWidth="1"/>
    <col min="6" max="6" width="13.296875" customWidth="1"/>
    <col min="7" max="7" width="38.5" customWidth="1"/>
    <col min="8" max="8" width="36.5" customWidth="1"/>
    <col min="9" max="9" width="40" customWidth="1"/>
  </cols>
  <sheetData>
    <row r="2" spans="2:9" ht="33" customHeight="1" x14ac:dyDescent="0.3">
      <c r="B2" s="1" t="s">
        <v>95</v>
      </c>
      <c r="C2" s="1"/>
      <c r="D2" s="1"/>
      <c r="E2" s="1"/>
      <c r="F2" s="1"/>
      <c r="G2" s="1"/>
      <c r="H2" s="1"/>
      <c r="I2" s="1"/>
    </row>
    <row r="4" spans="2:9" ht="31.5" customHeight="1" x14ac:dyDescent="0.3">
      <c r="B4" s="62" t="s">
        <v>96</v>
      </c>
      <c r="C4" s="62" t="s">
        <v>97</v>
      </c>
      <c r="D4" s="62" t="s">
        <v>98</v>
      </c>
      <c r="E4" s="62" t="s">
        <v>99</v>
      </c>
      <c r="F4" s="62" t="s">
        <v>100</v>
      </c>
      <c r="G4" s="62" t="s">
        <v>101</v>
      </c>
      <c r="H4" s="62" t="s">
        <v>102</v>
      </c>
      <c r="I4" s="62" t="s">
        <v>103</v>
      </c>
    </row>
    <row r="5" spans="2:9" ht="27.75" customHeight="1" x14ac:dyDescent="0.3">
      <c r="B5" s="63" t="s">
        <v>104</v>
      </c>
      <c r="C5" s="64">
        <v>0</v>
      </c>
      <c r="D5" s="64">
        <v>100000</v>
      </c>
      <c r="E5" s="65">
        <v>12</v>
      </c>
      <c r="F5" s="65">
        <v>48</v>
      </c>
      <c r="G5" s="66" t="s">
        <v>105</v>
      </c>
      <c r="H5" s="66" t="s">
        <v>106</v>
      </c>
      <c r="I5" s="66" t="s">
        <v>107</v>
      </c>
    </row>
    <row r="6" spans="2:9" ht="27.75" customHeight="1" x14ac:dyDescent="0.3">
      <c r="B6" s="67" t="s">
        <v>108</v>
      </c>
      <c r="C6" s="68">
        <v>100001</v>
      </c>
      <c r="D6" s="68">
        <v>300000</v>
      </c>
      <c r="E6" s="69">
        <v>18</v>
      </c>
      <c r="F6" s="69">
        <v>72</v>
      </c>
      <c r="G6" s="70" t="s">
        <v>109</v>
      </c>
      <c r="H6" s="70" t="s">
        <v>110</v>
      </c>
      <c r="I6" s="70" t="s">
        <v>111</v>
      </c>
    </row>
    <row r="7" spans="2:9" ht="27.75" customHeight="1" x14ac:dyDescent="0.3">
      <c r="B7" s="63" t="s">
        <v>112</v>
      </c>
      <c r="C7" s="64">
        <v>300001</v>
      </c>
      <c r="D7" s="64">
        <v>1000000</v>
      </c>
      <c r="E7" s="65">
        <v>24</v>
      </c>
      <c r="F7" s="65">
        <v>96</v>
      </c>
      <c r="G7" s="66" t="s">
        <v>113</v>
      </c>
      <c r="H7" s="66" t="s">
        <v>114</v>
      </c>
      <c r="I7" s="66" t="s">
        <v>115</v>
      </c>
    </row>
    <row r="8" spans="2:9" ht="27.75" customHeight="1" x14ac:dyDescent="0.3">
      <c r="B8" s="67" t="s">
        <v>116</v>
      </c>
      <c r="C8" s="68">
        <v>1000001</v>
      </c>
      <c r="D8" s="68">
        <v>999999999</v>
      </c>
      <c r="E8" s="69">
        <v>48</v>
      </c>
      <c r="F8" s="69">
        <v>144</v>
      </c>
      <c r="G8" s="70" t="s">
        <v>117</v>
      </c>
      <c r="H8" s="70" t="s">
        <v>118</v>
      </c>
      <c r="I8" s="70" t="s">
        <v>119</v>
      </c>
    </row>
    <row r="10" spans="2:9" x14ac:dyDescent="0.3">
      <c r="B10" s="71"/>
      <c r="C10" s="71"/>
      <c r="D10" s="71"/>
      <c r="E10" s="71"/>
      <c r="F10" s="71"/>
      <c r="G10" s="71"/>
      <c r="H10" s="71"/>
      <c r="I10" s="71"/>
    </row>
  </sheetData>
  <mergeCells count="2">
    <mergeCell ref="B2:I2"/>
    <mergeCell ref="B10:I10"/>
  </mergeCells>
  <pageMargins left="0.75" right="0.75" top="1" bottom="1" header="0.511811023622047" footer="0.511811023622047"/>
  <pageSetup paperSize="77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BEP</vt:lpstr>
      <vt:lpstr>Istruzioni</vt:lpstr>
      <vt:lpstr>Parametri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CRISTIANO DEPASQUALE</dc:creator>
  <dc:description/>
  <cp:lastModifiedBy>Cristiano De Pasquale</cp:lastModifiedBy>
  <cp:revision>1</cp:revision>
  <dcterms:created xsi:type="dcterms:W3CDTF">2025-01-09T11:03:43Z</dcterms:created>
  <dcterms:modified xsi:type="dcterms:W3CDTF">2026-06-09T21:30:28Z</dcterms:modified>
  <dc:language>en-US</dc:language>
</cp:coreProperties>
</file>