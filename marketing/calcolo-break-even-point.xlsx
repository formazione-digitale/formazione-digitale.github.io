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pasqualecristiano.EINAUDI\Downloads\EMarketing - BEP\"/>
    </mc:Choice>
  </mc:AlternateContent>
  <xr:revisionPtr revIDLastSave="0" documentId="13_ncr:1_{4A654F1E-90DC-4554-8702-CAC6F1E7B609}" xr6:coauthVersionLast="36" xr6:coauthVersionMax="36" xr10:uidLastSave="{00000000-0000-0000-0000-000000000000}"/>
  <bookViews>
    <workbookView xWindow="0" yWindow="0" windowWidth="28800" windowHeight="12225" xr2:uid="{F5F8A360-096E-4860-AF71-D6CD49E28B14}"/>
  </bookViews>
  <sheets>
    <sheet name="BEP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1" l="1"/>
  <c r="C42" i="1" l="1"/>
  <c r="C40" i="1"/>
  <c r="C8" i="1" l="1"/>
  <c r="C12" i="1" s="1"/>
  <c r="D40" i="1" s="1"/>
  <c r="D42" i="1" l="1"/>
  <c r="C20" i="1"/>
  <c r="C22" i="1" s="1"/>
  <c r="C32" i="1" s="1"/>
  <c r="D41" i="1"/>
  <c r="C35" i="1" l="1"/>
  <c r="F35" i="1" s="1"/>
  <c r="F32" i="1"/>
  <c r="E32" i="1"/>
  <c r="C31" i="1"/>
  <c r="F31" i="1" s="1"/>
  <c r="D32" i="1"/>
  <c r="C30" i="1"/>
  <c r="C28" i="1"/>
  <c r="D28" i="1" s="1"/>
  <c r="C33" i="1"/>
  <c r="C29" i="1"/>
  <c r="C36" i="1"/>
  <c r="C34" i="1"/>
  <c r="D35" i="1" l="1"/>
  <c r="G32" i="1"/>
  <c r="H32" i="1" s="1"/>
  <c r="E35" i="1"/>
  <c r="G35" i="1" s="1"/>
  <c r="E31" i="1"/>
  <c r="G31" i="1" s="1"/>
  <c r="D34" i="1"/>
  <c r="F34" i="1"/>
  <c r="E33" i="1"/>
  <c r="F33" i="1"/>
  <c r="E28" i="1"/>
  <c r="F28" i="1"/>
  <c r="D36" i="1"/>
  <c r="F36" i="1"/>
  <c r="D30" i="1"/>
  <c r="F30" i="1"/>
  <c r="D31" i="1"/>
  <c r="E29" i="1"/>
  <c r="F29" i="1"/>
  <c r="D29" i="1"/>
  <c r="E30" i="1"/>
  <c r="E34" i="1"/>
  <c r="D33" i="1"/>
  <c r="E36" i="1"/>
  <c r="H31" i="1" l="1"/>
  <c r="H35" i="1"/>
  <c r="G28" i="1"/>
  <c r="H28" i="1" s="1"/>
  <c r="G34" i="1"/>
  <c r="H34" i="1" s="1"/>
  <c r="G29" i="1"/>
  <c r="H29" i="1" s="1"/>
  <c r="G36" i="1"/>
  <c r="H36" i="1" s="1"/>
  <c r="G30" i="1"/>
  <c r="H30" i="1" s="1"/>
  <c r="G33" i="1"/>
  <c r="H33" i="1" s="1"/>
</calcChain>
</file>

<file path=xl/sharedStrings.xml><?xml version="1.0" encoding="utf-8"?>
<sst xmlns="http://schemas.openxmlformats.org/spreadsheetml/2006/main" count="26" uniqueCount="26">
  <si>
    <t>Break Even Point</t>
  </si>
  <si>
    <t>Profitto / Perdita</t>
  </si>
  <si>
    <t>Costi Totali (CT)</t>
  </si>
  <si>
    <t>Costi Fissi (CF)</t>
  </si>
  <si>
    <t>Costi Variabili Totali (CVT)</t>
  </si>
  <si>
    <t>Ricavi Totali (RT)</t>
  </si>
  <si>
    <t>Quantità (Q)</t>
  </si>
  <si>
    <t>Margine Contribuzione</t>
  </si>
  <si>
    <t>Prezzo vendita unitario</t>
  </si>
  <si>
    <t>Materia prima</t>
  </si>
  <si>
    <t>Confezione</t>
  </si>
  <si>
    <t>manodopera</t>
  </si>
  <si>
    <t>Etichette, marketing</t>
  </si>
  <si>
    <t>Calcolo tempo di rientro</t>
  </si>
  <si>
    <t>Vendite / Periodo (caso peggiore/medio/migiore)</t>
  </si>
  <si>
    <t>Vendite</t>
  </si>
  <si>
    <t>Costi variabili (unitari)</t>
  </si>
  <si>
    <t>Costi variabili unitari (totale)</t>
  </si>
  <si>
    <t>Costi fissi iniziali (totali)</t>
  </si>
  <si>
    <t>Costi mensili (stipendi, canoni)</t>
  </si>
  <si>
    <t>Vendite medie mensili</t>
  </si>
  <si>
    <t>Margine di contr. Effettivo</t>
  </si>
  <si>
    <t>BEP</t>
  </si>
  <si>
    <t>Coeff. %</t>
  </si>
  <si>
    <t>Tempo (mesi)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</si>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</sst>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_-* #,##0.00_-;\-* #,##0.00_-;_-* &quot;-&quot;??_-;_-@_-"/>
    <numFmt numFmtId="166" formatCode="_-* #,##0.0_-;\-* #,##0.0_-;_-* &quot;-&quot;??_-;_-@_-"/>
  </numFmts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48">
    <xf numFmtId="0" fontId="0" fillId="0" borderId="0" xfId="0"/>
    <xf numFmtId="166" fontId="0" fillId="5" borderId="13" xfId="1" applyNumberFormat="1" applyFont="1" applyFill="1" applyBorder="1" applyProtection="1"/>
    <xf numFmtId="0" fontId="0" fillId="5" borderId="13" xfId="0" applyFill="1" applyBorder="1" applyAlignment="1" applyProtection="1">
      <alignment horizontal="center"/>
      <protection locked="0"/>
    </xf>
    <xf numFmtId="164" fontId="6" fillId="4" borderId="14" xfId="1" applyNumberFormat="1" applyFont="1" applyFill="1" applyBorder="1" applyProtection="1"/>
    <xf numFmtId="166" fontId="0" fillId="5" borderId="13" xfId="1" applyNumberFormat="1" applyFont="1" applyFill="1" applyBorder="1" applyProtection="1">
      <protection locked="0"/>
    </xf>
    <xf numFmtId="164" fontId="0" fillId="0" borderId="0" xfId="0" applyNumberFormat="1"/>
    <xf numFmtId="164" fontId="6" fillId="4" borderId="14" xfId="0" applyNumberFormat="1" applyFont="1" applyFill="1" applyBorder="1"/>
    <xf numFmtId="164" fontId="0" fillId="5" borderId="15" xfId="1" applyNumberFormat="1" applyFont="1" applyFill="1" applyBorder="1" applyProtection="1">
      <protection locked="0"/>
    </xf>
    <xf numFmtId="164" fontId="0" fillId="5" borderId="4" xfId="1" applyNumberFormat="1" applyFont="1" applyFill="1" applyBorder="1" applyProtection="1">
      <protection locked="0"/>
    </xf>
    <xf numFmtId="164" fontId="0" fillId="5" borderId="17" xfId="1" applyNumberFormat="1" applyFont="1" applyFill="1" applyBorder="1" applyProtection="1">
      <protection locked="0"/>
    </xf>
    <xf numFmtId="164" fontId="0" fillId="0" borderId="12" xfId="0" applyNumberFormat="1" applyBorder="1" applyProtection="1">
      <protection locked="0"/>
    </xf>
    <xf numFmtId="164" fontId="0" fillId="5" borderId="14" xfId="1" applyNumberFormat="1" applyFont="1" applyFill="1" applyBorder="1" applyProtection="1">
      <protection locked="0"/>
    </xf>
    <xf numFmtId="0" fontId="4" fillId="3" borderId="7" xfId="0" applyFont="1" applyFill="1" applyBorder="1" applyAlignment="1" applyProtection="1">
      <alignment horizontal="center"/>
    </xf>
    <xf numFmtId="0" fontId="7" fillId="3" borderId="7" xfId="0" applyFont="1" applyFill="1" applyBorder="1" applyAlignment="1" applyProtection="1">
      <alignment horizontal="center"/>
    </xf>
    <xf numFmtId="0" fontId="7" fillId="3" borderId="11" xfId="0" applyFont="1" applyFill="1" applyBorder="1" applyAlignment="1" applyProtection="1">
      <alignment horizontal="center" vertical="center" wrapText="1"/>
    </xf>
    <xf numFmtId="0" fontId="2" fillId="0" borderId="10" xfId="0" applyFont="1" applyBorder="1" applyAlignment="1" applyProtection="1">
      <alignment horizontal="center" vertical="center" wrapText="1"/>
    </xf>
    <xf numFmtId="164" fontId="2" fillId="0" borderId="9" xfId="0" applyNumberFormat="1" applyFont="1" applyBorder="1" applyAlignment="1" applyProtection="1">
      <alignment vertical="center" wrapText="1"/>
    </xf>
    <xf numFmtId="164" fontId="2" fillId="0" borderId="8" xfId="0" applyNumberFormat="1" applyFont="1" applyBorder="1" applyAlignment="1" applyProtection="1">
      <alignment vertical="center" wrapText="1"/>
    </xf>
    <xf numFmtId="0" fontId="2" fillId="0" borderId="6" xfId="0" applyFont="1" applyBorder="1" applyAlignment="1" applyProtection="1">
      <alignment horizontal="center" vertical="center" wrapText="1"/>
    </xf>
    <xf numFmtId="164" fontId="2" fillId="0" borderId="5" xfId="0" applyNumberFormat="1" applyFont="1" applyBorder="1" applyAlignment="1" applyProtection="1">
      <alignment vertical="center" wrapText="1"/>
    </xf>
    <xf numFmtId="164" fontId="2" fillId="0" borderId="4" xfId="0" applyNumberFormat="1" applyFont="1" applyBorder="1" applyAlignment="1" applyProtection="1">
      <alignment vertical="center" wrapText="1"/>
    </xf>
    <xf numFmtId="164" fontId="3" fillId="2" borderId="5" xfId="0" applyNumberFormat="1" applyFont="1" applyFill="1" applyBorder="1" applyAlignment="1" applyProtection="1">
      <alignment vertical="center" wrapText="1"/>
    </xf>
    <xf numFmtId="164" fontId="3" fillId="2" borderId="4" xfId="0" applyNumberFormat="1" applyFont="1" applyFill="1" applyBorder="1" applyAlignment="1" applyProtection="1">
      <alignment vertical="center" wrapText="1"/>
    </xf>
    <xf numFmtId="0" fontId="2" fillId="0" borderId="3" xfId="0" applyFont="1" applyBorder="1" applyAlignment="1" applyProtection="1">
      <alignment horizontal="center" vertical="center" wrapText="1"/>
    </xf>
    <xf numFmtId="164" fontId="2" fillId="0" borderId="2" xfId="0" applyNumberFormat="1" applyFont="1" applyBorder="1" applyAlignment="1" applyProtection="1">
      <alignment vertical="center" wrapText="1"/>
    </xf>
    <xf numFmtId="164" fontId="2" fillId="0" borderId="1" xfId="0" applyNumberFormat="1" applyFont="1" applyBorder="1" applyAlignment="1" applyProtection="1">
      <alignment vertical="center" wrapText="1"/>
    </xf>
    <xf numFmtId="0" fontId="4" fillId="3" borderId="19" xfId="0" applyFont="1" applyFill="1" applyBorder="1" applyAlignment="1" applyProtection="1">
      <alignment horizontal="center" vertical="center" wrapText="1"/>
    </xf>
    <xf numFmtId="0" fontId="4" fillId="3" borderId="11" xfId="0" applyFont="1" applyFill="1" applyBorder="1" applyAlignment="1" applyProtection="1">
      <alignment horizontal="center" vertical="center" wrapText="1"/>
    </xf>
    <xf numFmtId="0" fontId="4" fillId="3" borderId="20" xfId="0" applyFont="1" applyFill="1" applyBorder="1" applyAlignment="1" applyProtection="1">
      <alignment horizontal="center" vertical="center" wrapText="1"/>
    </xf>
    <xf numFmtId="0" fontId="0" fillId="5" borderId="18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16" xfId="0" applyFill="1" applyBorder="1" applyAlignment="1" applyProtection="1">
      <alignment horizontal="center"/>
      <protection locked="0"/>
    </xf>
    <xf numFmtId="164" fontId="8" fillId="4" borderId="12" xfId="1" applyNumberFormat="1" applyFont="1" applyFill="1" applyBorder="1" applyAlignment="1" applyProtection="1">
      <alignment horizontal="center"/>
    </xf>
    <xf numFmtId="2" fontId="8" fillId="4" borderId="12" xfId="1" applyNumberFormat="1" applyFont="1" applyFill="1" applyBorder="1" applyAlignment="1" applyProtection="1">
      <alignment horizontal="center"/>
    </xf>
    <xf numFmtId="1" fontId="0" fillId="5" borderId="14" xfId="1" applyNumberFormat="1" applyFont="1" applyFill="1" applyBorder="1" applyProtection="1">
      <protection locked="0"/>
    </xf>
    <xf numFmtId="0" fontId="4" fillId="3" borderId="21" xfId="0" applyFont="1" applyFill="1" applyBorder="1" applyAlignment="1" applyProtection="1">
      <alignment horizontal="center" vertical="center" wrapText="1"/>
    </xf>
    <xf numFmtId="164" fontId="2" fillId="0" borderId="23" xfId="0" applyNumberFormat="1" applyFont="1" applyBorder="1" applyAlignment="1" applyProtection="1">
      <alignment vertical="center" wrapText="1"/>
    </xf>
    <xf numFmtId="9" fontId="0" fillId="0" borderId="11" xfId="0" applyNumberFormat="1" applyBorder="1" applyAlignment="1" applyProtection="1">
      <alignment horizontal="center"/>
      <protection locked="0"/>
    </xf>
    <xf numFmtId="2" fontId="3" fillId="2" borderId="6" xfId="0" applyNumberFormat="1" applyFont="1" applyFill="1" applyBorder="1" applyAlignment="1" applyProtection="1">
      <alignment horizontal="center" vertical="center" wrapText="1"/>
    </xf>
    <xf numFmtId="1" fontId="6" fillId="4" borderId="27" xfId="1" applyNumberFormat="1" applyFont="1" applyFill="1" applyBorder="1" applyAlignment="1" applyProtection="1">
      <alignment horizontal="center"/>
    </xf>
    <xf numFmtId="0" fontId="0" fillId="6" borderId="22" xfId="0" applyFill="1" applyBorder="1" applyAlignment="1" applyProtection="1">
      <alignment horizontal="center"/>
      <protection locked="0"/>
    </xf>
    <xf numFmtId="1" fontId="0" fillId="6" borderId="28" xfId="0" applyNumberFormat="1" applyFill="1" applyBorder="1" applyAlignment="1" applyProtection="1">
      <alignment horizontal="center"/>
      <protection locked="0"/>
    </xf>
    <xf numFmtId="0" fontId="0" fillId="6" borderId="29" xfId="0" applyFill="1" applyBorder="1" applyAlignment="1" applyProtection="1">
      <alignment horizontal="center"/>
      <protection locked="0"/>
    </xf>
    <xf numFmtId="0" fontId="5" fillId="3" borderId="19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4" fillId="3" borderId="24" xfId="0" applyFont="1" applyFill="1" applyBorder="1" applyAlignment="1" applyProtection="1">
      <alignment horizontal="center" vertical="center" wrapText="1"/>
    </xf>
    <xf numFmtId="0" fontId="4" fillId="3" borderId="25" xfId="0" applyFont="1" applyFill="1" applyBorder="1" applyAlignment="1" applyProtection="1">
      <alignment horizontal="center" vertical="center" wrapText="1"/>
    </xf>
    <xf numFmtId="0" fontId="4" fillId="3" borderId="26" xfId="0" applyFont="1" applyFill="1" applyBorder="1" applyAlignment="1" applyProtection="1">
      <alignment horizontal="center" vertical="center" wrapText="1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Analisi</a:t>
            </a:r>
            <a:r>
              <a:rPr lang="it-IT" baseline="0"/>
              <a:t> BREAK-EVEN POINT</a:t>
            </a:r>
            <a:endParaRPr lang="it-IT"/>
          </a:p>
        </c:rich>
      </c:tx>
      <c:layout>
        <c:manualLayout>
          <c:xMode val="edge"/>
          <c:yMode val="edge"/>
          <c:x val="0.4600531677372778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BEP!$D$27</c:f>
              <c:strCache>
                <c:ptCount val="1"/>
                <c:pt idx="0">
                  <c:v>Ricavi Totali (RT)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BEP!$C$28:$C$36</c:f>
              <c:numCache>
                <c:formatCode>General</c:formatCode>
                <c:ptCount val="9"/>
                <c:pt idx="0">
                  <c:v>0</c:v>
                </c:pt>
                <c:pt idx="1">
                  <c:v>9807.6923383667963</c:v>
                </c:pt>
                <c:pt idx="2">
                  <c:v>19615.384676733593</c:v>
                </c:pt>
                <c:pt idx="3">
                  <c:v>29423.077015100389</c:v>
                </c:pt>
                <c:pt idx="4" formatCode="0.00">
                  <c:v>39230.769353467185</c:v>
                </c:pt>
                <c:pt idx="5">
                  <c:v>49038.461691833982</c:v>
                </c:pt>
                <c:pt idx="6">
                  <c:v>58846.154030200778</c:v>
                </c:pt>
                <c:pt idx="7">
                  <c:v>68653.846368567582</c:v>
                </c:pt>
                <c:pt idx="8">
                  <c:v>78461.538706934371</c:v>
                </c:pt>
              </c:numCache>
            </c:numRef>
          </c:cat>
          <c:val>
            <c:numRef>
              <c:f>BEP!$D$28:$D$36</c:f>
              <c:numCache>
                <c:formatCode>#,##0.00\ "€"</c:formatCode>
                <c:ptCount val="9"/>
                <c:pt idx="0">
                  <c:v>0</c:v>
                </c:pt>
                <c:pt idx="1">
                  <c:v>129134.61572203477</c:v>
                </c:pt>
                <c:pt idx="2">
                  <c:v>258269.23144406953</c:v>
                </c:pt>
                <c:pt idx="3">
                  <c:v>387403.8471661043</c:v>
                </c:pt>
                <c:pt idx="4">
                  <c:v>516538.46288813907</c:v>
                </c:pt>
                <c:pt idx="5">
                  <c:v>645673.07861017378</c:v>
                </c:pt>
                <c:pt idx="6">
                  <c:v>774807.6943322086</c:v>
                </c:pt>
                <c:pt idx="7">
                  <c:v>903942.31005424343</c:v>
                </c:pt>
                <c:pt idx="8">
                  <c:v>1033076.9257762781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06-451D-85FE-10A42F6EC5BC}"/>
            </c:ext>
          </c:extLst>
        </c:ser>
        <c:ser>
          <c:idx val="3"/>
          <c:order val="1"/>
          <c:tx>
            <c:strRef>
              <c:f>BEP!$F$27</c:f>
              <c:strCache>
                <c:ptCount val="1"/>
                <c:pt idx="0">
                  <c:v>Costi Fissi (CF)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BEP!$C$28:$C$36</c:f>
              <c:numCache>
                <c:formatCode>General</c:formatCode>
                <c:ptCount val="9"/>
                <c:pt idx="0">
                  <c:v>0</c:v>
                </c:pt>
                <c:pt idx="1">
                  <c:v>9807.6923383667963</c:v>
                </c:pt>
                <c:pt idx="2">
                  <c:v>19615.384676733593</c:v>
                </c:pt>
                <c:pt idx="3">
                  <c:v>29423.077015100389</c:v>
                </c:pt>
                <c:pt idx="4" formatCode="0.00">
                  <c:v>39230.769353467185</c:v>
                </c:pt>
                <c:pt idx="5">
                  <c:v>49038.461691833982</c:v>
                </c:pt>
                <c:pt idx="6">
                  <c:v>58846.154030200778</c:v>
                </c:pt>
                <c:pt idx="7">
                  <c:v>68653.846368567582</c:v>
                </c:pt>
                <c:pt idx="8">
                  <c:v>78461.538706934371</c:v>
                </c:pt>
              </c:numCache>
            </c:numRef>
          </c:cat>
          <c:val>
            <c:numRef>
              <c:f>BEP!$F$28:$F$36</c:f>
              <c:numCache>
                <c:formatCode>#,##0.00\ "€"</c:formatCode>
                <c:ptCount val="9"/>
                <c:pt idx="0">
                  <c:v>85000</c:v>
                </c:pt>
                <c:pt idx="1">
                  <c:v>124230.76935346719</c:v>
                </c:pt>
                <c:pt idx="2">
                  <c:v>163461.53870693437</c:v>
                </c:pt>
                <c:pt idx="3">
                  <c:v>202692.30806040158</c:v>
                </c:pt>
                <c:pt idx="4">
                  <c:v>241923.07741386874</c:v>
                </c:pt>
                <c:pt idx="5">
                  <c:v>281153.8467673359</c:v>
                </c:pt>
                <c:pt idx="6">
                  <c:v>320384.61612080317</c:v>
                </c:pt>
                <c:pt idx="7">
                  <c:v>359615.38547427033</c:v>
                </c:pt>
                <c:pt idx="8">
                  <c:v>398846.15482773748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06-451D-85FE-10A42F6EC5BC}"/>
            </c:ext>
          </c:extLst>
        </c:ser>
        <c:ser>
          <c:idx val="4"/>
          <c:order val="2"/>
          <c:tx>
            <c:strRef>
              <c:f>BEP!$G$27</c:f>
              <c:strCache>
                <c:ptCount val="1"/>
                <c:pt idx="0">
                  <c:v>Costi Totali (CT)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BEP!$C$28:$C$36</c:f>
              <c:numCache>
                <c:formatCode>General</c:formatCode>
                <c:ptCount val="9"/>
                <c:pt idx="0">
                  <c:v>0</c:v>
                </c:pt>
                <c:pt idx="1">
                  <c:v>9807.6923383667963</c:v>
                </c:pt>
                <c:pt idx="2">
                  <c:v>19615.384676733593</c:v>
                </c:pt>
                <c:pt idx="3">
                  <c:v>29423.077015100389</c:v>
                </c:pt>
                <c:pt idx="4" formatCode="0.00">
                  <c:v>39230.769353467185</c:v>
                </c:pt>
                <c:pt idx="5">
                  <c:v>49038.461691833982</c:v>
                </c:pt>
                <c:pt idx="6">
                  <c:v>58846.154030200778</c:v>
                </c:pt>
                <c:pt idx="7">
                  <c:v>68653.846368567582</c:v>
                </c:pt>
                <c:pt idx="8">
                  <c:v>78461.538706934371</c:v>
                </c:pt>
              </c:numCache>
            </c:numRef>
          </c:cat>
          <c:val>
            <c:numRef>
              <c:f>BEP!$G$28:$G$36</c:f>
              <c:numCache>
                <c:formatCode>#,##0.00\ "€"</c:formatCode>
                <c:ptCount val="9"/>
                <c:pt idx="0">
                  <c:v>85000</c:v>
                </c:pt>
                <c:pt idx="1">
                  <c:v>192884.61572203477</c:v>
                </c:pt>
                <c:pt idx="2">
                  <c:v>300769.23144406953</c:v>
                </c:pt>
                <c:pt idx="3">
                  <c:v>408653.8471661043</c:v>
                </c:pt>
                <c:pt idx="4">
                  <c:v>516538.46288813907</c:v>
                </c:pt>
                <c:pt idx="5">
                  <c:v>624423.07861017378</c:v>
                </c:pt>
                <c:pt idx="6">
                  <c:v>732307.6943322086</c:v>
                </c:pt>
                <c:pt idx="7">
                  <c:v>840192.31005424343</c:v>
                </c:pt>
                <c:pt idx="8">
                  <c:v>948076.92577627813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06-451D-85FE-10A42F6EC5BC}"/>
            </c:ext>
          </c:extLst>
        </c:ser>
        <c:ser>
          <c:idx val="5"/>
          <c:order val="3"/>
          <c:tx>
            <c:strRef>
              <c:f>BEP!$H$27</c:f>
              <c:strCache>
                <c:ptCount val="1"/>
                <c:pt idx="0">
                  <c:v>Profitto / Perdita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BEP!$C$28:$C$36</c:f>
              <c:numCache>
                <c:formatCode>General</c:formatCode>
                <c:ptCount val="9"/>
                <c:pt idx="0">
                  <c:v>0</c:v>
                </c:pt>
                <c:pt idx="1">
                  <c:v>9807.6923383667963</c:v>
                </c:pt>
                <c:pt idx="2">
                  <c:v>19615.384676733593</c:v>
                </c:pt>
                <c:pt idx="3">
                  <c:v>29423.077015100389</c:v>
                </c:pt>
                <c:pt idx="4" formatCode="0.00">
                  <c:v>39230.769353467185</c:v>
                </c:pt>
                <c:pt idx="5">
                  <c:v>49038.461691833982</c:v>
                </c:pt>
                <c:pt idx="6">
                  <c:v>58846.154030200778</c:v>
                </c:pt>
                <c:pt idx="7">
                  <c:v>68653.846368567582</c:v>
                </c:pt>
                <c:pt idx="8">
                  <c:v>78461.538706934371</c:v>
                </c:pt>
              </c:numCache>
            </c:numRef>
          </c:cat>
          <c:val>
            <c:numRef>
              <c:f>BEP!$H$28:$H$36</c:f>
              <c:numCache>
                <c:formatCode>#,##0.00\ "€"</c:formatCode>
                <c:ptCount val="9"/>
                <c:pt idx="0">
                  <c:v>-85000</c:v>
                </c:pt>
                <c:pt idx="1">
                  <c:v>-63750</c:v>
                </c:pt>
                <c:pt idx="2">
                  <c:v>-42500</c:v>
                </c:pt>
                <c:pt idx="3">
                  <c:v>-21250</c:v>
                </c:pt>
                <c:pt idx="4">
                  <c:v>0</c:v>
                </c:pt>
                <c:pt idx="5">
                  <c:v>21250</c:v>
                </c:pt>
                <c:pt idx="6">
                  <c:v>42500</c:v>
                </c:pt>
                <c:pt idx="7">
                  <c:v>63750</c:v>
                </c:pt>
                <c:pt idx="8">
                  <c:v>85000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06-451D-85FE-10A42F6EC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487088"/>
        <c:axId val="1478979728"/>
      </c:lineChart>
      <c:catAx>
        <c:axId val="137148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12700">
                  <a:solidFill>
                    <a:schemeClr val="accent1"/>
                  </a:solidFill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78979728"/>
        <c:crosses val="autoZero"/>
        <c:auto val="1"/>
        <c:lblAlgn val="ctr"/>
        <c:lblOffset val="100"/>
        <c:noMultiLvlLbl val="0"/>
      </c:catAx>
      <c:valAx>
        <c:axId val="147897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148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2342</xdr:colOff>
      <xdr:row>1</xdr:row>
      <xdr:rowOff>15169</xdr:rowOff>
    </xdr:from>
    <xdr:to>
      <xdr:col>24</xdr:col>
      <xdr:colOff>358748</xdr:colOff>
      <xdr:row>34</xdr:row>
      <xdr:rowOff>99011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1D46984A-24FF-46FC-AA08-FD224856E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124239</xdr:colOff>
      <xdr:row>2</xdr:row>
      <xdr:rowOff>165652</xdr:rowOff>
    </xdr:from>
    <xdr:to>
      <xdr:col>4</xdr:col>
      <xdr:colOff>265043</xdr:colOff>
      <xdr:row>6</xdr:row>
      <xdr:rowOff>0</xdr:rowOff>
    </xdr:to>
    <xdr:sp macro="" textlink="">
      <xdr:nvSpPr>
        <xdr:cNvPr id="3" name="CasellaDiTesto 2">
          <a:extLst>
            <a:ext uri="{FF2B5EF4-FFF2-40B4-BE49-F238E27FC236}">
              <a16:creationId xmlns:a16="http://schemas.microsoft.com/office/drawing/2014/main" id="{29DA46D3-AE64-4C26-9E44-8BF6057CEB30}"/>
            </a:ext>
          </a:extLst>
        </xdr:cNvPr>
        <xdr:cNvSpPr txBox="1"/>
      </xdr:nvSpPr>
      <xdr:spPr>
        <a:xfrm>
          <a:off x="3412435" y="646043"/>
          <a:ext cx="1391478" cy="62947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Inserire fino a 5 voci di spesa distinte (per unità di prodotto)</a:t>
          </a:r>
        </a:p>
      </xdr:txBody>
    </xdr:sp>
    <xdr:clientData/>
  </xdr:twoCellAnchor>
  <xdr:twoCellAnchor>
    <xdr:from>
      <xdr:col>3</xdr:col>
      <xdr:colOff>177247</xdr:colOff>
      <xdr:row>8</xdr:row>
      <xdr:rowOff>77857</xdr:rowOff>
    </xdr:from>
    <xdr:to>
      <xdr:col>3</xdr:col>
      <xdr:colOff>1134717</xdr:colOff>
      <xdr:row>10</xdr:row>
      <xdr:rowOff>115957</xdr:rowOff>
    </xdr:to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7C6A7426-8128-4DB2-8A73-CB93CB435CC9}"/>
            </a:ext>
          </a:extLst>
        </xdr:cNvPr>
        <xdr:cNvSpPr txBox="1"/>
      </xdr:nvSpPr>
      <xdr:spPr>
        <a:xfrm>
          <a:off x="3465443" y="1767509"/>
          <a:ext cx="957470" cy="4522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Prezzo</a:t>
          </a:r>
          <a:r>
            <a:rPr lang="it-IT" sz="1100" baseline="0"/>
            <a:t> del bene/servizio</a:t>
          </a:r>
          <a:endParaRPr lang="it-IT" sz="1100"/>
        </a:p>
      </xdr:txBody>
    </xdr:sp>
    <xdr:clientData/>
  </xdr:twoCellAnchor>
  <xdr:twoCellAnchor>
    <xdr:from>
      <xdr:col>3</xdr:col>
      <xdr:colOff>72885</xdr:colOff>
      <xdr:row>12</xdr:row>
      <xdr:rowOff>89453</xdr:rowOff>
    </xdr:from>
    <xdr:to>
      <xdr:col>4</xdr:col>
      <xdr:colOff>596346</xdr:colOff>
      <xdr:row>14</xdr:row>
      <xdr:rowOff>127554</xdr:rowOff>
    </xdr:to>
    <xdr:sp macro="" textlink="">
      <xdr:nvSpPr>
        <xdr:cNvPr id="5" name="CasellaDiTesto 4">
          <a:extLst>
            <a:ext uri="{FF2B5EF4-FFF2-40B4-BE49-F238E27FC236}">
              <a16:creationId xmlns:a16="http://schemas.microsoft.com/office/drawing/2014/main" id="{4769354D-1E8F-4317-9FF0-DB449DA5A125}"/>
            </a:ext>
          </a:extLst>
        </xdr:cNvPr>
        <xdr:cNvSpPr txBox="1"/>
      </xdr:nvSpPr>
      <xdr:spPr>
        <a:xfrm>
          <a:off x="3361081" y="2607366"/>
          <a:ext cx="1774135" cy="4522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CFI Include tutti i costi sostenuti al giorno ZERO</a:t>
          </a:r>
        </a:p>
      </xdr:txBody>
    </xdr:sp>
    <xdr:clientData/>
  </xdr:twoCellAnchor>
  <xdr:twoCellAnchor>
    <xdr:from>
      <xdr:col>3</xdr:col>
      <xdr:colOff>67916</xdr:colOff>
      <xdr:row>14</xdr:row>
      <xdr:rowOff>200441</xdr:rowOff>
    </xdr:from>
    <xdr:to>
      <xdr:col>4</xdr:col>
      <xdr:colOff>591377</xdr:colOff>
      <xdr:row>16</xdr:row>
      <xdr:rowOff>41414</xdr:rowOff>
    </xdr:to>
    <xdr:sp macro="" textlink="">
      <xdr:nvSpPr>
        <xdr:cNvPr id="6" name="CasellaDiTesto 5">
          <a:extLst>
            <a:ext uri="{FF2B5EF4-FFF2-40B4-BE49-F238E27FC236}">
              <a16:creationId xmlns:a16="http://schemas.microsoft.com/office/drawing/2014/main" id="{F655F691-0DD7-4D31-8BC4-DB82D724F2B2}"/>
            </a:ext>
          </a:extLst>
        </xdr:cNvPr>
        <xdr:cNvSpPr txBox="1"/>
      </xdr:nvSpPr>
      <xdr:spPr>
        <a:xfrm>
          <a:off x="3356112" y="3132484"/>
          <a:ext cx="1774135" cy="2551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Costi ricorrenti (al mese)</a:t>
          </a:r>
        </a:p>
      </xdr:txBody>
    </xdr:sp>
    <xdr:clientData/>
  </xdr:twoCellAnchor>
  <xdr:twoCellAnchor>
    <xdr:from>
      <xdr:col>3</xdr:col>
      <xdr:colOff>71229</xdr:colOff>
      <xdr:row>16</xdr:row>
      <xdr:rowOff>195470</xdr:rowOff>
    </xdr:from>
    <xdr:to>
      <xdr:col>5</xdr:col>
      <xdr:colOff>0</xdr:colOff>
      <xdr:row>18</xdr:row>
      <xdr:rowOff>100851</xdr:rowOff>
    </xdr:to>
    <xdr:sp macro="" textlink="">
      <xdr:nvSpPr>
        <xdr:cNvPr id="7" name="CasellaDiTesto 6">
          <a:extLst>
            <a:ext uri="{FF2B5EF4-FFF2-40B4-BE49-F238E27FC236}">
              <a16:creationId xmlns:a16="http://schemas.microsoft.com/office/drawing/2014/main" id="{7DC8917F-0055-481C-AAA4-69ED0C0E6469}"/>
            </a:ext>
          </a:extLst>
        </xdr:cNvPr>
        <xdr:cNvSpPr txBox="1"/>
      </xdr:nvSpPr>
      <xdr:spPr>
        <a:xfrm>
          <a:off x="3354553" y="3624470"/>
          <a:ext cx="2315623" cy="3312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Stima delle unità vendute (al mese)</a:t>
          </a:r>
        </a:p>
      </xdr:txBody>
    </xdr:sp>
    <xdr:clientData/>
  </xdr:twoCellAnchor>
  <xdr:twoCellAnchor>
    <xdr:from>
      <xdr:col>6</xdr:col>
      <xdr:colOff>107674</xdr:colOff>
      <xdr:row>37</xdr:row>
      <xdr:rowOff>173935</xdr:rowOff>
    </xdr:from>
    <xdr:to>
      <xdr:col>8</xdr:col>
      <xdr:colOff>107674</xdr:colOff>
      <xdr:row>40</xdr:row>
      <xdr:rowOff>4970</xdr:rowOff>
    </xdr:to>
    <xdr:sp macro="" textlink="">
      <xdr:nvSpPr>
        <xdr:cNvPr id="8" name="CasellaDiTesto 7">
          <a:extLst>
            <a:ext uri="{FF2B5EF4-FFF2-40B4-BE49-F238E27FC236}">
              <a16:creationId xmlns:a16="http://schemas.microsoft.com/office/drawing/2014/main" id="{17EAD044-D403-4C8C-8E4C-DAC9024F20A6}"/>
            </a:ext>
          </a:extLst>
        </xdr:cNvPr>
        <xdr:cNvSpPr txBox="1"/>
      </xdr:nvSpPr>
      <xdr:spPr>
        <a:xfrm>
          <a:off x="6783457" y="8191500"/>
          <a:ext cx="1921565" cy="4522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Coefficiente di variabilità (caso</a:t>
          </a:r>
          <a:r>
            <a:rPr lang="it-IT" sz="1100" baseline="0"/>
            <a:t> peggiore / caso migliore)</a:t>
          </a:r>
          <a:endParaRPr lang="it-IT" sz="1100"/>
        </a:p>
      </xdr:txBody>
    </xdr:sp>
    <xdr:clientData/>
  </xdr:twoCellAnchor>
  <xdr:twoCellAnchor>
    <xdr:from>
      <xdr:col>1</xdr:col>
      <xdr:colOff>468795</xdr:colOff>
      <xdr:row>26</xdr:row>
      <xdr:rowOff>129209</xdr:rowOff>
    </xdr:from>
    <xdr:to>
      <xdr:col>1</xdr:col>
      <xdr:colOff>1722782</xdr:colOff>
      <xdr:row>28</xdr:row>
      <xdr:rowOff>140803</xdr:rowOff>
    </xdr:to>
    <xdr:sp macro="" textlink="">
      <xdr:nvSpPr>
        <xdr:cNvPr id="9" name="CasellaDiTesto 8">
          <a:extLst>
            <a:ext uri="{FF2B5EF4-FFF2-40B4-BE49-F238E27FC236}">
              <a16:creationId xmlns:a16="http://schemas.microsoft.com/office/drawing/2014/main" id="{75EEBEDF-1F58-4C5D-96E2-E18E8521CE12}"/>
            </a:ext>
          </a:extLst>
        </xdr:cNvPr>
        <xdr:cNvSpPr txBox="1"/>
      </xdr:nvSpPr>
      <xdr:spPr>
        <a:xfrm>
          <a:off x="700708" y="5604013"/>
          <a:ext cx="1253987" cy="7073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Matrice</a:t>
          </a:r>
          <a:r>
            <a:rPr lang="it-IT" sz="1100" baseline="0"/>
            <a:t> di rientro in funzione della % di pezzi venduti</a:t>
          </a:r>
          <a:endParaRPr lang="it-IT" sz="1100"/>
        </a:p>
      </xdr:txBody>
    </xdr:sp>
    <xdr:clientData/>
  </xdr:twoCellAnchor>
  <xdr:twoCellAnchor>
    <xdr:from>
      <xdr:col>0</xdr:col>
      <xdr:colOff>140804</xdr:colOff>
      <xdr:row>22</xdr:row>
      <xdr:rowOff>33131</xdr:rowOff>
    </xdr:from>
    <xdr:to>
      <xdr:col>3</xdr:col>
      <xdr:colOff>91108</xdr:colOff>
      <xdr:row>23</xdr:row>
      <xdr:rowOff>89452</xdr:rowOff>
    </xdr:to>
    <xdr:sp macro="" textlink="">
      <xdr:nvSpPr>
        <xdr:cNvPr id="10" name="CasellaDiTesto 9">
          <a:extLst>
            <a:ext uri="{FF2B5EF4-FFF2-40B4-BE49-F238E27FC236}">
              <a16:creationId xmlns:a16="http://schemas.microsoft.com/office/drawing/2014/main" id="{748F167E-44BA-4DE6-AB7C-B647CAB604B5}"/>
            </a:ext>
          </a:extLst>
        </xdr:cNvPr>
        <xdr:cNvSpPr txBox="1"/>
      </xdr:nvSpPr>
      <xdr:spPr>
        <a:xfrm>
          <a:off x="140804" y="4704522"/>
          <a:ext cx="3238500" cy="2551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100"/>
            <a:t>BREAK</a:t>
          </a:r>
          <a:r>
            <a:rPr lang="it-IT" sz="1100" baseline="0"/>
            <a:t> EVEN POINT IN TERMINI DI ARTICOLI VENDUTI</a:t>
          </a:r>
          <a:endParaRPr lang="it-IT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AAA7F-EC1D-4F7D-B902-8A9E3664AFA3}">
  <dimension ref="B1:H42"/>
  <sheetViews>
    <sheetView tabSelected="1" zoomScale="70" zoomScaleNormal="70" workbookViewId="0">
      <selection activeCell="B39" activeCellId="15" sqref="B2:C2 B8 C8 B10 B12 C12 B14 B16 B18 B20 C20 B22 C22 B27:H36 F39 B39:D42"/>
    </sheetView>
  </sheetViews>
  <sheetFormatPr defaultRowHeight="15.75" x14ac:dyDescent="0.25"/>
  <cols>
    <col min="1" max="1" width="3" customWidth="1"/>
    <col min="2" max="2" width="26.5" customWidth="1"/>
    <col min="3" max="3" width="13.625" bestFit="1" customWidth="1"/>
    <col min="4" max="4" width="16.375" bestFit="1" customWidth="1"/>
    <col min="5" max="5" width="15" bestFit="1" customWidth="1"/>
    <col min="6" max="6" width="13" bestFit="1" customWidth="1"/>
    <col min="7" max="7" width="13.75" bestFit="1" customWidth="1"/>
    <col min="8" max="8" width="11.75" bestFit="1" customWidth="1"/>
  </cols>
  <sheetData>
    <row r="1" spans="2:3" ht="16.5" thickBot="1" x14ac:dyDescent="0.3"/>
    <row r="2" spans="2:3" ht="21.75" thickBot="1" x14ac:dyDescent="0.4">
      <c r="B2" s="43" t="s">
        <v>16</v>
      </c>
      <c r="C2" s="44"/>
    </row>
    <row r="3" spans="2:3" ht="15.75" customHeight="1" x14ac:dyDescent="0.25">
      <c r="B3" s="29" t="s">
        <v>9</v>
      </c>
      <c r="C3" s="9">
        <v>5</v>
      </c>
    </row>
    <row r="4" spans="2:3" x14ac:dyDescent="0.25">
      <c r="B4" s="30" t="s">
        <v>10</v>
      </c>
      <c r="C4" s="8">
        <v>0.5</v>
      </c>
    </row>
    <row r="5" spans="2:3" x14ac:dyDescent="0.25">
      <c r="B5" s="30" t="s">
        <v>11</v>
      </c>
      <c r="C5" s="8">
        <v>1</v>
      </c>
    </row>
    <row r="6" spans="2:3" x14ac:dyDescent="0.25">
      <c r="B6" s="30" t="s">
        <v>12</v>
      </c>
      <c r="C6" s="8">
        <v>0.5</v>
      </c>
    </row>
    <row r="7" spans="2:3" ht="16.5" thickBot="1" x14ac:dyDescent="0.3">
      <c r="B7" s="31" t="s">
        <v>25</v>
      </c>
      <c r="C7" s="7">
        <v>0</v>
      </c>
    </row>
    <row r="8" spans="2:3" ht="16.5" thickBot="1" x14ac:dyDescent="0.3">
      <c r="B8" s="12" t="s">
        <v>17</v>
      </c>
      <c r="C8" s="6">
        <f>SUM(C3:C7)</f>
        <v>7</v>
      </c>
    </row>
    <row r="9" spans="2:3" ht="16.5" thickBot="1" x14ac:dyDescent="0.3">
      <c r="C9" s="5"/>
    </row>
    <row r="10" spans="2:3" ht="16.5" thickBot="1" x14ac:dyDescent="0.3">
      <c r="B10" s="12" t="s">
        <v>8</v>
      </c>
      <c r="C10" s="10">
        <v>13.166666659890211</v>
      </c>
    </row>
    <row r="11" spans="2:3" ht="16.5" thickBot="1" x14ac:dyDescent="0.3">
      <c r="B11" s="2"/>
      <c r="C11" s="4"/>
    </row>
    <row r="12" spans="2:3" ht="16.5" thickBot="1" x14ac:dyDescent="0.3">
      <c r="B12" s="12" t="s">
        <v>7</v>
      </c>
      <c r="C12" s="3">
        <f>C10-C8</f>
        <v>6.1666666598902111</v>
      </c>
    </row>
    <row r="13" spans="2:3" ht="16.5" thickBot="1" x14ac:dyDescent="0.3">
      <c r="B13" s="2"/>
      <c r="C13" s="1"/>
    </row>
    <row r="14" spans="2:3" ht="16.5" thickBot="1" x14ac:dyDescent="0.3">
      <c r="B14" s="12" t="s">
        <v>18</v>
      </c>
      <c r="C14" s="11">
        <v>85000</v>
      </c>
    </row>
    <row r="15" spans="2:3" ht="16.5" thickBot="1" x14ac:dyDescent="0.3"/>
    <row r="16" spans="2:3" ht="16.5" thickBot="1" x14ac:dyDescent="0.3">
      <c r="B16" s="12" t="s">
        <v>19</v>
      </c>
      <c r="C16" s="11">
        <v>3000</v>
      </c>
    </row>
    <row r="17" spans="2:8" ht="16.5" thickBot="1" x14ac:dyDescent="0.3"/>
    <row r="18" spans="2:8" ht="16.5" thickBot="1" x14ac:dyDescent="0.3">
      <c r="B18" s="12" t="s">
        <v>20</v>
      </c>
      <c r="C18" s="34">
        <v>750</v>
      </c>
    </row>
    <row r="19" spans="2:8" ht="16.5" thickBot="1" x14ac:dyDescent="0.3"/>
    <row r="20" spans="2:8" ht="19.5" thickBot="1" x14ac:dyDescent="0.35">
      <c r="B20" s="12" t="s">
        <v>21</v>
      </c>
      <c r="C20" s="32">
        <f>C12-(C16/C18)</f>
        <v>2.1666666598902111</v>
      </c>
    </row>
    <row r="21" spans="2:8" ht="16.5" thickBot="1" x14ac:dyDescent="0.3">
      <c r="C21" s="5"/>
    </row>
    <row r="22" spans="2:8" ht="19.5" thickBot="1" x14ac:dyDescent="0.35">
      <c r="B22" s="13" t="s">
        <v>22</v>
      </c>
      <c r="C22" s="33">
        <f>C14/C20</f>
        <v>39230.769353467185</v>
      </c>
    </row>
    <row r="26" spans="2:8" ht="16.5" thickBot="1" x14ac:dyDescent="0.3"/>
    <row r="27" spans="2:8" ht="57" thickBot="1" x14ac:dyDescent="0.3">
      <c r="C27" s="14" t="s">
        <v>6</v>
      </c>
      <c r="D27" s="14" t="s">
        <v>5</v>
      </c>
      <c r="E27" s="14" t="s">
        <v>4</v>
      </c>
      <c r="F27" s="14" t="s">
        <v>3</v>
      </c>
      <c r="G27" s="14" t="s">
        <v>2</v>
      </c>
      <c r="H27" s="14" t="s">
        <v>1</v>
      </c>
    </row>
    <row r="28" spans="2:8" ht="16.5" thickBot="1" x14ac:dyDescent="0.3">
      <c r="C28" s="15">
        <f>$C$32*0%</f>
        <v>0</v>
      </c>
      <c r="D28" s="16">
        <f t="shared" ref="D28:D36" si="0">C28*$C$10</f>
        <v>0</v>
      </c>
      <c r="E28" s="16">
        <f t="shared" ref="E28:E36" si="1">C28*$C$8</f>
        <v>0</v>
      </c>
      <c r="F28" s="16">
        <f>$C$14+($C$16 * (C28 / $C$18))</f>
        <v>85000</v>
      </c>
      <c r="G28" s="16">
        <f t="shared" ref="G28:G36" si="2">E28+F28</f>
        <v>85000</v>
      </c>
      <c r="H28" s="17">
        <f t="shared" ref="H28:H36" si="3">D28-G28</f>
        <v>-85000</v>
      </c>
    </row>
    <row r="29" spans="2:8" ht="16.5" thickBot="1" x14ac:dyDescent="0.3">
      <c r="C29" s="18">
        <f>$C$32*25%</f>
        <v>9807.6923383667963</v>
      </c>
      <c r="D29" s="19">
        <f t="shared" si="0"/>
        <v>129134.61572203477</v>
      </c>
      <c r="E29" s="19">
        <f t="shared" si="1"/>
        <v>68653.846368567582</v>
      </c>
      <c r="F29" s="16">
        <f t="shared" ref="F29:F36" si="4">$C$14+($C$16 * (C29 / $C$18))</f>
        <v>124230.76935346719</v>
      </c>
      <c r="G29" s="19">
        <f t="shared" si="2"/>
        <v>192884.61572203477</v>
      </c>
      <c r="H29" s="20">
        <f t="shared" si="3"/>
        <v>-63750</v>
      </c>
    </row>
    <row r="30" spans="2:8" ht="16.5" thickBot="1" x14ac:dyDescent="0.3">
      <c r="C30" s="18">
        <f>$C$32*50%</f>
        <v>19615.384676733593</v>
      </c>
      <c r="D30" s="19">
        <f t="shared" si="0"/>
        <v>258269.23144406953</v>
      </c>
      <c r="E30" s="19">
        <f t="shared" si="1"/>
        <v>137307.69273713516</v>
      </c>
      <c r="F30" s="16">
        <f t="shared" si="4"/>
        <v>163461.53870693437</v>
      </c>
      <c r="G30" s="19">
        <f t="shared" si="2"/>
        <v>300769.23144406953</v>
      </c>
      <c r="H30" s="20">
        <f t="shared" si="3"/>
        <v>-42500</v>
      </c>
    </row>
    <row r="31" spans="2:8" ht="16.5" thickBot="1" x14ac:dyDescent="0.3">
      <c r="C31" s="18">
        <f>$C$32*75%</f>
        <v>29423.077015100389</v>
      </c>
      <c r="D31" s="19">
        <f t="shared" si="0"/>
        <v>387403.8471661043</v>
      </c>
      <c r="E31" s="19">
        <f t="shared" si="1"/>
        <v>205961.53910570272</v>
      </c>
      <c r="F31" s="16">
        <f t="shared" si="4"/>
        <v>202692.30806040158</v>
      </c>
      <c r="G31" s="19">
        <f t="shared" si="2"/>
        <v>408653.8471661043</v>
      </c>
      <c r="H31" s="20">
        <f t="shared" si="3"/>
        <v>-21250</v>
      </c>
    </row>
    <row r="32" spans="2:8" ht="16.5" thickBot="1" x14ac:dyDescent="0.3">
      <c r="B32" s="12" t="s">
        <v>0</v>
      </c>
      <c r="C32" s="38">
        <f>C22</f>
        <v>39230.769353467185</v>
      </c>
      <c r="D32" s="21">
        <f t="shared" si="0"/>
        <v>516538.46288813907</v>
      </c>
      <c r="E32" s="21">
        <f>C32*$C$8</f>
        <v>274615.38547427033</v>
      </c>
      <c r="F32" s="16">
        <f t="shared" si="4"/>
        <v>241923.07741386874</v>
      </c>
      <c r="G32" s="21">
        <f t="shared" si="2"/>
        <v>516538.46288813907</v>
      </c>
      <c r="H32" s="22">
        <f t="shared" si="3"/>
        <v>0</v>
      </c>
    </row>
    <row r="33" spans="2:8" ht="15.75" customHeight="1" thickBot="1" x14ac:dyDescent="0.3">
      <c r="C33" s="18">
        <f>$C$32*125%</f>
        <v>49038.461691833982</v>
      </c>
      <c r="D33" s="19">
        <f t="shared" si="0"/>
        <v>645673.07861017378</v>
      </c>
      <c r="E33" s="19">
        <f t="shared" si="1"/>
        <v>343269.23184283788</v>
      </c>
      <c r="F33" s="16">
        <f t="shared" si="4"/>
        <v>281153.8467673359</v>
      </c>
      <c r="G33" s="19">
        <f t="shared" si="2"/>
        <v>624423.07861017378</v>
      </c>
      <c r="H33" s="20">
        <f t="shared" si="3"/>
        <v>21250</v>
      </c>
    </row>
    <row r="34" spans="2:8" ht="16.5" thickBot="1" x14ac:dyDescent="0.3">
      <c r="C34" s="18">
        <f>$C$32*150%</f>
        <v>58846.154030200778</v>
      </c>
      <c r="D34" s="19">
        <f t="shared" si="0"/>
        <v>774807.6943322086</v>
      </c>
      <c r="E34" s="19">
        <f t="shared" si="1"/>
        <v>411923.07821140543</v>
      </c>
      <c r="F34" s="16">
        <f t="shared" si="4"/>
        <v>320384.61612080317</v>
      </c>
      <c r="G34" s="19">
        <f t="shared" si="2"/>
        <v>732307.6943322086</v>
      </c>
      <c r="H34" s="20">
        <f t="shared" si="3"/>
        <v>42500</v>
      </c>
    </row>
    <row r="35" spans="2:8" ht="16.5" thickBot="1" x14ac:dyDescent="0.3">
      <c r="C35" s="18">
        <f>$C$32*175%</f>
        <v>68653.846368567582</v>
      </c>
      <c r="D35" s="19">
        <f t="shared" si="0"/>
        <v>903942.31005424343</v>
      </c>
      <c r="E35" s="19">
        <f t="shared" si="1"/>
        <v>480576.9245799731</v>
      </c>
      <c r="F35" s="16">
        <f t="shared" si="4"/>
        <v>359615.38547427033</v>
      </c>
      <c r="G35" s="19">
        <f t="shared" si="2"/>
        <v>840192.31005424343</v>
      </c>
      <c r="H35" s="20">
        <f t="shared" si="3"/>
        <v>63750</v>
      </c>
    </row>
    <row r="36" spans="2:8" ht="16.5" thickBot="1" x14ac:dyDescent="0.3">
      <c r="C36" s="23">
        <f>$C$32*200%</f>
        <v>78461.538706934371</v>
      </c>
      <c r="D36" s="24">
        <f t="shared" si="0"/>
        <v>1033076.9257762781</v>
      </c>
      <c r="E36" s="24">
        <f t="shared" si="1"/>
        <v>549230.77094854065</v>
      </c>
      <c r="F36" s="36">
        <f t="shared" si="4"/>
        <v>398846.15482773748</v>
      </c>
      <c r="G36" s="24">
        <f t="shared" si="2"/>
        <v>948076.92577627813</v>
      </c>
      <c r="H36" s="25">
        <f t="shared" si="3"/>
        <v>85000</v>
      </c>
    </row>
    <row r="38" spans="2:8" ht="16.5" thickBot="1" x14ac:dyDescent="0.3"/>
    <row r="39" spans="2:8" ht="16.5" thickBot="1" x14ac:dyDescent="0.3">
      <c r="B39" s="26" t="s">
        <v>13</v>
      </c>
      <c r="C39" s="35" t="s">
        <v>15</v>
      </c>
      <c r="D39" s="28" t="s">
        <v>24</v>
      </c>
      <c r="F39" s="27" t="s">
        <v>23</v>
      </c>
    </row>
    <row r="40" spans="2:8" ht="16.5" thickBot="1" x14ac:dyDescent="0.3">
      <c r="B40" s="45" t="s">
        <v>14</v>
      </c>
      <c r="C40" s="40">
        <f>C41-C41*$F$40</f>
        <v>675</v>
      </c>
      <c r="D40" s="39">
        <f>IF($C$12 - ($C$16 / C40) &lt;= 0, "NON SOSTENIBILE", CEILING(($C$14 / ($C$12 - ($C$16 / C40))) / C40, 1))</f>
        <v>74</v>
      </c>
      <c r="F40" s="37">
        <v>0.1</v>
      </c>
    </row>
    <row r="41" spans="2:8" ht="16.5" thickBot="1" x14ac:dyDescent="0.3">
      <c r="B41" s="46"/>
      <c r="C41" s="41">
        <f>$C$18</f>
        <v>750</v>
      </c>
      <c r="D41" s="39">
        <f>IF($C$12 - ($C$16 / C41) &lt;= 0, "NON SOSTENIBILE", CEILING(($C$14 / ($C$12 - ($C$16 / C41))) / C41, 1))</f>
        <v>53</v>
      </c>
    </row>
    <row r="42" spans="2:8" ht="16.5" thickBot="1" x14ac:dyDescent="0.3">
      <c r="B42" s="47"/>
      <c r="C42" s="42">
        <f>C41+C41*$F$40</f>
        <v>825</v>
      </c>
      <c r="D42" s="39">
        <f>IF($C$12 - ($C$16 / C42) &lt;= 0, "NON SOSTENIBILE", CEILING(($C$14 / ($C$12 - ($C$16 / C42))) / C42, 1))</f>
        <v>41</v>
      </c>
    </row>
  </sheetData>
  <sheetProtection algorithmName="SHA-512" hashValue="YRvq4ZILHkG7HM9z3jIqsCkNF9AzTcneXtIp6fSSz70sS89YSrIu/JgKchZlvHFb3BOjOdyrPt64aebvJSsI3A==" saltValue="n1rVlq3mYcH1N987xiKcpQ==" spinCount="100000" sheet="1" formatCells="0" formatColumns="0" formatRows="0" insertColumns="0" insertRows="0" deleteColumns="0" deleteRows="0"/>
  <mergeCells count="2">
    <mergeCell ref="B2:C2"/>
    <mergeCell ref="B40:B42"/>
  </mergeCells>
  <pageMargins left="0.7" right="0.7" top="0.75" bottom="0.75" header="0.3" footer="0.3"/>
  <pageSetup paperSize="9" orientation="portrait" r:id="rId1"/>
  <ignoredErrors>
    <ignoredError sqref="C40:C41 C42" unlocked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BEP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CRISTIANO DEPASQUALE</dc:creator>
  <cp:lastModifiedBy>DePasquale Cristiano</cp:lastModifiedBy>
  <dcterms:created xsi:type="dcterms:W3CDTF">2025-01-09T11:03:43Z</dcterms:created>
  <dcterms:modified xsi:type="dcterms:W3CDTF">2026-03-23T07:01:33Z</dcterms:modified>
</cp:coreProperties>
</file>